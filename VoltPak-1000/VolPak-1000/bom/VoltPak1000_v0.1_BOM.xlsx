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aybello/Github/KICAD-PCBs/VoltPak-1000/VolPak-1000/bom/"/>
    </mc:Choice>
  </mc:AlternateContent>
  <xr:revisionPtr revIDLastSave="0" documentId="13_ncr:1_{2F378BF5-933E-2440-9ED8-638B9DE1A74A}" xr6:coauthVersionLast="45" xr6:coauthVersionMax="45" xr10:uidLastSave="{00000000-0000-0000-0000-000000000000}"/>
  <bookViews>
    <workbookView xWindow="0" yWindow="500" windowWidth="38400" windowHeight="21100" tabRatio="500" xr2:uid="{00000000-000D-0000-FFFF-FFFF00000000}"/>
  </bookViews>
  <sheets>
    <sheet name="BOM" sheetId="3" r:id="rId1"/>
  </sheets>
  <externalReferences>
    <externalReference r:id="rId2"/>
    <externalReference r:id="rId3"/>
  </externalReferences>
  <definedNames>
    <definedName name="_xlnm.Print_Area" localSheetId="0">BOM!$B$1:$N$90</definedName>
    <definedName name="Priority" localSheetId="0">'[1]Business Process Flowchart'!#REF!</definedName>
    <definedName name="Priority">'[1]Business Process Flowchart'!#REF!</definedName>
    <definedName name="Status" localSheetId="0">'[1]Business Process Flowchart'!#REF!</definedName>
    <definedName name="Status">'[1]Business Process Flowchart'!#REF!</definedName>
    <definedName name="Type" localSheetId="0">'[2]Towing Invoice'!#REF!</definedName>
    <definedName name="Type">'[2]Towing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0" i="3" l="1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73" i="3"/>
  <c r="N9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11" i="3"/>
  <c r="L90" i="3"/>
  <c r="N10" i="3"/>
  <c r="M90" i="3" l="1"/>
  <c r="N90" i="3"/>
  <c r="C6" i="3" s="1"/>
</calcChain>
</file>

<file path=xl/sharedStrings.xml><?xml version="1.0" encoding="utf-8"?>
<sst xmlns="http://schemas.openxmlformats.org/spreadsheetml/2006/main" count="469" uniqueCount="392">
  <si>
    <t>DESCRIPTION</t>
  </si>
  <si>
    <t>UNIT COST</t>
  </si>
  <si>
    <t>PRODUCT NAME</t>
  </si>
  <si>
    <t>APPROVED BY</t>
  </si>
  <si>
    <t>CONTACT INFO</t>
  </si>
  <si>
    <t>TOTAL COST</t>
  </si>
  <si>
    <t>PART COUNT</t>
  </si>
  <si>
    <t>QUANTITY</t>
  </si>
  <si>
    <t>TOTAL PART COST</t>
  </si>
  <si>
    <t>ITEM NUMBER</t>
  </si>
  <si>
    <t>ITEM NAME</t>
  </si>
  <si>
    <t>STATUS</t>
  </si>
  <si>
    <t>SOURCE / SUPPLIER</t>
  </si>
  <si>
    <t>LINK TO SUPPORTING DOC</t>
  </si>
  <si>
    <t>COMPLETE</t>
  </si>
  <si>
    <t>APPROVAL DATE</t>
  </si>
  <si>
    <t>VoltPak 1000 v0.1</t>
  </si>
  <si>
    <t>Ray B.</t>
  </si>
  <si>
    <t>03/09/2025</t>
  </si>
  <si>
    <t>VOLTPAK 1000 v0.1 Bill Of Materials</t>
  </si>
  <si>
    <t>PCB Antenna</t>
  </si>
  <si>
    <t>HER207</t>
  </si>
  <si>
    <t>1N5819</t>
  </si>
  <si>
    <t>S8050</t>
  </si>
  <si>
    <t>IRF3205</t>
  </si>
  <si>
    <t>A1</t>
  </si>
  <si>
    <t>C1, C13, C14, C17, C18, C2, C20, C21, C23, C26, C27, C31, C34, C</t>
  </si>
  <si>
    <t>C10, C9</t>
  </si>
  <si>
    <t>C11, C15, C22, C24, C25, C44, C45, C47, C51</t>
  </si>
  <si>
    <t>C12, C16, C19, C3, C6</t>
  </si>
  <si>
    <t>C28, C32</t>
  </si>
  <si>
    <t>C29, C5</t>
  </si>
  <si>
    <t>C30</t>
  </si>
  <si>
    <t>C33, C37</t>
  </si>
  <si>
    <t>C35, C36</t>
  </si>
  <si>
    <t>C38, C39</t>
  </si>
  <si>
    <t>C40</t>
  </si>
  <si>
    <t>C41, C42</t>
  </si>
  <si>
    <t>C43</t>
  </si>
  <si>
    <t>C48, C49, C53, C54</t>
  </si>
  <si>
    <t>C7, C8</t>
  </si>
  <si>
    <t>CHOKE1</t>
  </si>
  <si>
    <t>D1, D3, D4</t>
  </si>
  <si>
    <t>D10, D11, D12, D13</t>
  </si>
  <si>
    <t>D14, D15, D16, D17</t>
  </si>
  <si>
    <t>D18</t>
  </si>
  <si>
    <t>D2</t>
  </si>
  <si>
    <t>D5</t>
  </si>
  <si>
    <t>D6, D7, D9</t>
  </si>
  <si>
    <t>J1</t>
  </si>
  <si>
    <t>J10</t>
  </si>
  <si>
    <t>J11</t>
  </si>
  <si>
    <t>J12</t>
  </si>
  <si>
    <t>J2</t>
  </si>
  <si>
    <t>J3</t>
  </si>
  <si>
    <t>J4</t>
  </si>
  <si>
    <t>J5</t>
  </si>
  <si>
    <t>J6</t>
  </si>
  <si>
    <t>J7</t>
  </si>
  <si>
    <t>J8</t>
  </si>
  <si>
    <t>J9</t>
  </si>
  <si>
    <t>L1</t>
  </si>
  <si>
    <t>L2</t>
  </si>
  <si>
    <t>L3</t>
  </si>
  <si>
    <t>L4</t>
  </si>
  <si>
    <t>L5</t>
  </si>
  <si>
    <t>Q1, Q2, Q7</t>
  </si>
  <si>
    <t>Q10, Q11, Q8, Q9</t>
  </si>
  <si>
    <t>Q12, Q13</t>
  </si>
  <si>
    <t>Q3, Q4, Q5, Q6</t>
  </si>
  <si>
    <t>R1, R10, R15, R16, R17, R2, R21, R22, R3, R4, R5, R62</t>
  </si>
  <si>
    <t>R11</t>
  </si>
  <si>
    <t>R12</t>
  </si>
  <si>
    <t>R13, R54, R55</t>
  </si>
  <si>
    <t>R14, R7</t>
  </si>
  <si>
    <t>R18, R19, R56, R57, R64, R65, R9</t>
  </si>
  <si>
    <t>R20</t>
  </si>
  <si>
    <t>R23, R53</t>
  </si>
  <si>
    <t>R24</t>
  </si>
  <si>
    <t>R25, R26, R58, R60</t>
  </si>
  <si>
    <t>R27, R28, R29, R30, R33, R35, R37</t>
  </si>
  <si>
    <t>R31</t>
  </si>
  <si>
    <t>R32, R44, R46, R48, R49</t>
  </si>
  <si>
    <t>R34, R36</t>
  </si>
  <si>
    <t>R38, R39</t>
  </si>
  <si>
    <t>R40, R45, R47, R50, R51</t>
  </si>
  <si>
    <t>R41, R42</t>
  </si>
  <si>
    <t>R43</t>
  </si>
  <si>
    <t>R52</t>
  </si>
  <si>
    <t>R59, R61</t>
  </si>
  <si>
    <t>R6</t>
  </si>
  <si>
    <t>R8</t>
  </si>
  <si>
    <t>RV1</t>
  </si>
  <si>
    <t>SW1, SW2, SW4, SW5</t>
  </si>
  <si>
    <t>T1</t>
  </si>
  <si>
    <t>U1</t>
  </si>
  <si>
    <t>U10</t>
  </si>
  <si>
    <t>U11</t>
  </si>
  <si>
    <t>U2</t>
  </si>
  <si>
    <t>U3</t>
  </si>
  <si>
    <t>U4</t>
  </si>
  <si>
    <t>U5</t>
  </si>
  <si>
    <t>U6</t>
  </si>
  <si>
    <t>U7</t>
  </si>
  <si>
    <t>U8, U9</t>
  </si>
  <si>
    <t>Y1</t>
  </si>
  <si>
    <t>-</t>
  </si>
  <si>
    <t>C6119799</t>
  </si>
  <si>
    <t>C880658</t>
  </si>
  <si>
    <t>C23692971</t>
  </si>
  <si>
    <t>C2887021</t>
  </si>
  <si>
    <t>C503217</t>
  </si>
  <si>
    <t>C688874</t>
  </si>
  <si>
    <t>C2960204</t>
  </si>
  <si>
    <t>C7499907</t>
  </si>
  <si>
    <t>C2843909</t>
  </si>
  <si>
    <t>C711636</t>
  </si>
  <si>
    <t>C5290327</t>
  </si>
  <si>
    <t>C100042</t>
  </si>
  <si>
    <t>C415703</t>
  </si>
  <si>
    <t>C437443</t>
  </si>
  <si>
    <t>C2831473</t>
  </si>
  <si>
    <t>C5180230</t>
  </si>
  <si>
    <t>C31251</t>
  </si>
  <si>
    <t>C402212</t>
  </si>
  <si>
    <t>C5632681</t>
  </si>
  <si>
    <t>C5380881</t>
  </si>
  <si>
    <t>C110032</t>
  </si>
  <si>
    <t>C7501578</t>
  </si>
  <si>
    <t>C2765186</t>
  </si>
  <si>
    <t>C160262</t>
  </si>
  <si>
    <t>C591765</t>
  </si>
  <si>
    <t>C783299</t>
  </si>
  <si>
    <t>C160255</t>
  </si>
  <si>
    <t>C8269</t>
  </si>
  <si>
    <t>C160258</t>
  </si>
  <si>
    <t>C76769</t>
  </si>
  <si>
    <t>C913678</t>
  </si>
  <si>
    <t>C18221128</t>
  </si>
  <si>
    <t>C22447690</t>
  </si>
  <si>
    <t>C2834467</t>
  </si>
  <si>
    <t>C472600</t>
  </si>
  <si>
    <t>C2931492</t>
  </si>
  <si>
    <t>C19189952</t>
  </si>
  <si>
    <t>C106231</t>
  </si>
  <si>
    <t>C25896</t>
  </si>
  <si>
    <t>C163478</t>
  </si>
  <si>
    <t>C11702</t>
  </si>
  <si>
    <t>C60490</t>
  </si>
  <si>
    <t>C403453</t>
  </si>
  <si>
    <t>C137992</t>
  </si>
  <si>
    <t>C25905</t>
  </si>
  <si>
    <t>C161787</t>
  </si>
  <si>
    <t>C2907028</t>
  </si>
  <si>
    <t>C109318</t>
  </si>
  <si>
    <t>C2907045</t>
  </si>
  <si>
    <t>C469426</t>
  </si>
  <si>
    <t>C2907046</t>
  </si>
  <si>
    <t>C491207</t>
  </si>
  <si>
    <t>C4109</t>
  </si>
  <si>
    <t>C137705</t>
  </si>
  <si>
    <t>C2909336</t>
  </si>
  <si>
    <t>C137970</t>
  </si>
  <si>
    <t>C404641</t>
  </si>
  <si>
    <t>C118954</t>
  </si>
  <si>
    <t>C221895</t>
  </si>
  <si>
    <t>C3013940</t>
  </si>
  <si>
    <t>C780769</t>
  </si>
  <si>
    <t>C2071056</t>
  </si>
  <si>
    <t>C113767</t>
  </si>
  <si>
    <t>C964632</t>
  </si>
  <si>
    <t>C19627011</t>
  </si>
  <si>
    <t>C7598682</t>
  </si>
  <si>
    <t>C2914</t>
  </si>
  <si>
    <t>C3795</t>
  </si>
  <si>
    <t>C962069</t>
  </si>
  <si>
    <t>C7294596</t>
  </si>
  <si>
    <t/>
  </si>
  <si>
    <t>https://www.lcsc.com/product-detail/C6119799.html</t>
  </si>
  <si>
    <t>https://www.lcsc.com/product-detail/C880658.html</t>
  </si>
  <si>
    <t>https://www.lcsc.com/product-detail/C23692971.html</t>
  </si>
  <si>
    <t>https://www.lcsc.com/product-detail/C2887021.html</t>
  </si>
  <si>
    <t>https://www.lcsc.com/product-detail/C503217.html</t>
  </si>
  <si>
    <t>https://www.lcsc.com/product-detail/C688874.html</t>
  </si>
  <si>
    <t>https://www.lcsc.com/product-detail/C2960204.html</t>
  </si>
  <si>
    <t>https://www.lcsc.com/product-detail/C7499907.html</t>
  </si>
  <si>
    <t>https://www.lcsc.com/product-detail/C2843909.html</t>
  </si>
  <si>
    <t>https://www.lcsc.com/product-detail/C711636.html</t>
  </si>
  <si>
    <t>https://www.lcsc.com/product-detail/C5290327.html</t>
  </si>
  <si>
    <t>https://www.lcsc.com/product-detail/C100042.html</t>
  </si>
  <si>
    <t>https://www.lcsc.com/product-detail/C415703.html</t>
  </si>
  <si>
    <t>https://www.lcsc.com/product-detail/C437443.html</t>
  </si>
  <si>
    <t>https://www.lcsc.com/product-detail/C2831473.html</t>
  </si>
  <si>
    <t>https://www.lcsc.com/product-detail/C5180230.html</t>
  </si>
  <si>
    <t>https://www.lcsc.com/product-detail/C31251.html</t>
  </si>
  <si>
    <t>https://www.lcsc.com/product-detail/C402212.html</t>
  </si>
  <si>
    <t>https://www.lcsc.com/product-detail/C5632681.html</t>
  </si>
  <si>
    <t>https://www.lcsc.com/product-detail/C5380881.html</t>
  </si>
  <si>
    <t>https://www.lcsc.com/product-detail/C110032.html</t>
  </si>
  <si>
    <t>https://www.lcsc.com/product-detail/C7501578.html</t>
  </si>
  <si>
    <t>https://www.lcsc.com/product-detail/C2765186.html</t>
  </si>
  <si>
    <t>https://www.lcsc.com/product-detail/C160262.html</t>
  </si>
  <si>
    <t>https://www.lcsc.com/product-detail/C591765.html</t>
  </si>
  <si>
    <t>https://www.lcsc.com/product-detail/C783299.html</t>
  </si>
  <si>
    <t>https://www.lcsc.com/product-detail/C160255.html</t>
  </si>
  <si>
    <t>https://www.lcsc.com/product-detail/C8269.html</t>
  </si>
  <si>
    <t>https://www.lcsc.com/product-detail/C160258.html</t>
  </si>
  <si>
    <t>https://www.lcsc.com/product-detail/C76769.html</t>
  </si>
  <si>
    <t>https://www.lcsc.com/product-detail/C913678.html</t>
  </si>
  <si>
    <t>https://www.lcsc.com/product-detail/C18221128.html</t>
  </si>
  <si>
    <t>https://www.lcsc.com/product-detail/C22447690.html</t>
  </si>
  <si>
    <t>https://www.lcsc.com/product-detail/C2834467.html</t>
  </si>
  <si>
    <t>https://www.lcsc.com/product-detail/C472600.html</t>
  </si>
  <si>
    <t>https://www.lcsc.com/product-detail/C2931492.html</t>
  </si>
  <si>
    <t>https://www.lcsc.com/product-detail/C19189952.html</t>
  </si>
  <si>
    <t>https://www.lcsc.com/product-detail/C106231.html</t>
  </si>
  <si>
    <t>https://www.lcsc.com/product-detail/C25896.html</t>
  </si>
  <si>
    <t>https://www.lcsc.com/product-detail/C163478.html</t>
  </si>
  <si>
    <t>https://www.lcsc.com/product-detail/C11702.html</t>
  </si>
  <si>
    <t>https://www.lcsc.com/product-detail/C60490.html</t>
  </si>
  <si>
    <t>https://www.lcsc.com/product-detail/C403453.html</t>
  </si>
  <si>
    <t>https://www.lcsc.com/product-detail/C137992.html</t>
  </si>
  <si>
    <t>https://www.lcsc.com/product-detail/C25905.html</t>
  </si>
  <si>
    <t>https://www.lcsc.com/product-detail/C161787.html</t>
  </si>
  <si>
    <t>https://www.lcsc.com/product-detail/C2907028.html</t>
  </si>
  <si>
    <t>https://www.lcsc.com/product-detail/C109318.html</t>
  </si>
  <si>
    <t>https://www.lcsc.com/product-detail/C2907045.html</t>
  </si>
  <si>
    <t>https://www.lcsc.com/product-detail/C469426.html</t>
  </si>
  <si>
    <t>https://www.lcsc.com/product-detail/C2907046.html</t>
  </si>
  <si>
    <t>https://www.lcsc.com/product-detail/C491207.html</t>
  </si>
  <si>
    <t>https://www.lcsc.com/product-detail/C4109.html</t>
  </si>
  <si>
    <t>https://www.lcsc.com/product-detail/C137705.html</t>
  </si>
  <si>
    <t>https://www.lcsc.com/product-detail/C2909336.html</t>
  </si>
  <si>
    <t>https://www.lcsc.com/product-detail/C137970.html</t>
  </si>
  <si>
    <t>https://www.lcsc.com/product-detail/C404641.html</t>
  </si>
  <si>
    <t>https://www.lcsc.com/product-detail/C118954.html</t>
  </si>
  <si>
    <t>https://www.lcsc.com/product-detail/C221895.html</t>
  </si>
  <si>
    <t>https://www.lcsc.com/product-detail/C3013940.html</t>
  </si>
  <si>
    <t>https://www.lcsc.com/product-detail/C780769.html</t>
  </si>
  <si>
    <t>https://www.lcsc.com/product-detail/C2071056.html</t>
  </si>
  <si>
    <t>https://www.lcsc.com/product-detail/C113767.html</t>
  </si>
  <si>
    <t>https://www.lcsc.com/product-detail/C964632.html</t>
  </si>
  <si>
    <t>https://www.lcsc.com/product-detail/C19627011.html</t>
  </si>
  <si>
    <t>https://www.lcsc.com/product-detail/C7598682.html</t>
  </si>
  <si>
    <t>https://www.lcsc.com/product-detail/C2914.html</t>
  </si>
  <si>
    <t>https://www.lcsc.com/product-detail/C3795.html</t>
  </si>
  <si>
    <t>https://www.lcsc.com/product-detail/C962069.html</t>
  </si>
  <si>
    <t>https://www.lcsc.com/product-detail/C7294596.html</t>
  </si>
  <si>
    <t>ORDER QUANTITY</t>
  </si>
  <si>
    <t>62.5mW Thick Film Resistor 50V ±100ppm/℃ ±1% 5.1kΩ 0402 Chip Resistor - Surface Mount ROHS</t>
  </si>
  <si>
    <t>62.5mW Thick Film Resistor 50V ±100ppm/℃ ±1% 2kΩ 0402 Chip Resistor - Surface Mount ROHS</t>
  </si>
  <si>
    <t>250mW Thick Film Resistor 200V ±200ppm/℃ ±5% 100kΩ 0603 Chip Resistor - Surface Mount ROHS</t>
  </si>
  <si>
    <t>100mW Thick Film Resistor 75V ±100ppm/℃ ±1% 5.6kΩ 0603 Chip Resistor - Surface Mount ROHS</t>
  </si>
  <si>
    <t>6W 0.5mΩ Surface Mount Shunt ±115ppm/℃ ±1% 2512 Current Sense Resistors / Shunt Resistors ROHS</t>
  </si>
  <si>
    <t>100mW Thick Film Resistor 75V ±1% ±200ppm/℃ 5.1Ω 0603 Chip Resistor - Surface Mount ROHS</t>
  </si>
  <si>
    <t>100mW Thick Film Resistor 75V ±1% ±200ppm/℃ 10Ω 0603 Chip Resistor - Surface Mount ROHS</t>
  </si>
  <si>
    <t>100mW Thick Film Resistor 75V ±100ppm/℃ ±1% 33kΩ 0603 Chip Resistor - Surface Mount ROHS</t>
  </si>
  <si>
    <t>250mW Thick Film Resistor 200V ±50ppm/℃ ±0.1% 10kΩ 0603 Chip Resistor - Surface Mount ROHS</t>
  </si>
  <si>
    <t>100mW Thick Film Resistor 75V ±1% ±200ppm/℃ 4.7Ω 0603 Chip Resistor - Surface Mount ROHS</t>
  </si>
  <si>
    <t>62.5mW Thick Film Resistor 50V ±100ppm/℃ ±1% 3.3kΩ 0402 Chip Resistor - Surface Mount ROHS</t>
  </si>
  <si>
    <t>62.5mW Thick Film Resistor 50V ±100ppm/℃ ±1% 10kΩ 0402 Chip Resistor - Surface Mount ROHS</t>
  </si>
  <si>
    <t>62.5mW Thick Film Resistor 50V ±100ppm/℃ ±1% 1kΩ 0402 Chip Resistor - Surface Mount ROHS</t>
  </si>
  <si>
    <t>62.5mW Thick Film Resistor 50V ±100ppm/℃ ±1% 22.1kΩ 0402 Chip Resistor - Surface Mount ROHS</t>
  </si>
  <si>
    <t>62.5mW Thick Film Resistor 50V ±100ppm/℃ ±1% 47.5kΩ 0402 Chip Resistor - Surface Mount ROHS</t>
  </si>
  <si>
    <t>62.5mW Thick Film Resistor 50V ±1% 0Ω 0402 Chip Resistor - Surface Mount ROHS</t>
  </si>
  <si>
    <t>55V 110A 9mΩ@10V 210W 4V@250uA 1 N-Channel TO-220 MOSFETs ROHS</t>
  </si>
  <si>
    <t>25V 160@50mA,1V 625mW 500mA NPN TO-92 Bipolar (BJT) ROHS</t>
  </si>
  <si>
    <t>62.5mW Thick Film Resistor 50V ±100ppm/℃ ±1% 220Ω 0402 Chip Resistor - Surface Mount ROHS</t>
  </si>
  <si>
    <t>62.5mW Thick Film Resistor 50V ±100ppm/℃ ±1% 499Ω 0402 Chip Resistor - Surface Mount ROHS</t>
  </si>
  <si>
    <t>350mA 24nH ±3% 430mΩ 0402 Inductors (SMD) ROHS</t>
  </si>
  <si>
    <t>±10% 10kΩ Through Hole Potentiometers, Variable Resistors ROHS</t>
  </si>
  <si>
    <t>3.2mm 2.5mm Round Button 50mA Surface Mount,Vertical 4.2mm SPST 4N 16V SMD-4P,3.2x4.2mm Tactile Switches ROHS</t>
  </si>
  <si>
    <t>Buck Fixed 2A 3.3V 3.8V~32V TSOT-23-6 DC-DC Converters ROHS</t>
  </si>
  <si>
    <t>Buck Fixed 2A 5V 3.8V~32V TSOT-23-6 DC-DC Converters ROHS</t>
  </si>
  <si>
    <t>SPI 133MHz SOIC-8-208mil NOR FLASH ROHS</t>
  </si>
  <si>
    <t>USB to UART USB 2.0 QFN-28-EP(5x5) USB Converters ROHS</t>
  </si>
  <si>
    <t>1A Fixed 1.764V~1.836V Positive 15V SOT-223 Voltage Regulators - Linear, Low Drop Out (LDO) Regulators ROHS</t>
  </si>
  <si>
    <t>400mA 5.1V 8V~35V SOP-16 DC-DC Converters ROHS</t>
  </si>
  <si>
    <t>62dB@(120Hz) 1.5A Fixed 12V Positive 35V TO-220 Voltage Regulators - Linear, Low Drop Out (LDO) Regulators ROHS</t>
  </si>
  <si>
    <t>62dB@(120Hz) 1.5A Fixed 5V Positive 25V TO-220 Voltage Regulators - Linear, Low Drop Out (LDO) Regulators ROHS</t>
  </si>
  <si>
    <t>300mV~26V SOT-23-8 Current Sense Amplifiers ROHS</t>
  </si>
  <si>
    <t>40MHz Crystal Oscillator 8pF ±10ppm ±30ppm SMD3225-4P Crystals ROHS</t>
  </si>
  <si>
    <t>1.7V@2A 70ns 2A 800V DO-15 Fast Recovery / High Efficiency Diodes ROHS</t>
  </si>
  <si>
    <t>50V 1.2pF C0G 0402 Multilayer Ceramic Capacitors MLCC - SMD/SMT ROHS</t>
  </si>
  <si>
    <t>6.3V 10uF X5R ±20% 0402 Multilayer Ceramic Capacitors MLCC - SMD/SMT ROHS</t>
  </si>
  <si>
    <t>6.3V 1uF X5R ±20% 0402 Multilayer Ceramic Capacitors MLCC - SMD/SMT ROHS</t>
  </si>
  <si>
    <t>1000uF 25V ±20% 450mA@120Hz Through Hole,D10xL16mm Aluminum Electrolytic Capacitors - Leaded ROHS</t>
  </si>
  <si>
    <t>50V 10nF X7R ±10% 0402 Multilayer Ceramic Capacitors MLCC - SMD/SMT ROHS</t>
  </si>
  <si>
    <t>1uF 50V ±20% Through Hole,D5xL11mm Aluminum Electrolytic Capacitors - Leaded ROHS</t>
  </si>
  <si>
    <t>470uF 16V Through Hole,D8xL9mm Aluminum Electrolytic Capacitors - Leaded ROHS</t>
  </si>
  <si>
    <t>100uF 450V ±20% 880mA@120kHz Through Hole,D18xL36mm Aluminum Electrolytic Capacitors - Leaded ROHS</t>
  </si>
  <si>
    <t>2.2uF 450V ±20% Through Hole,D6.3xL12mm Aluminum Electrolytic Capacitors - Leaded ROHS</t>
  </si>
  <si>
    <t>2kV 100nF X7R ±10% 2220 Multilayer Ceramic Capacitors MLCC - SMD/SMT ROHS</t>
  </si>
  <si>
    <t>50V 10nF X7R ±10% 0603 Multilayer Ceramic Capacitors MLCC - SMD/SMT ROHS</t>
  </si>
  <si>
    <t>6.3V 22uF X5R ±20% 0402 Multilayer Ceramic Capacitors MLCC - SMD/SMT ROHS</t>
  </si>
  <si>
    <t>50V 6pF C0G 0402 Multilayer Ceramic Capacitors MLCC - SMD/SMT ROHS</t>
  </si>
  <si>
    <t>2mH@1kHz 12mΩ 2 Through Hole,22x12mm Common Mode Filters ROHS</t>
  </si>
  <si>
    <t>12A 100W 8V 3.7V Bidirectional 3.3V SOD-923 ESD and Surge Protection (TVS/ESD) ROHS</t>
  </si>
  <si>
    <t>16V 100nF X7R ±10% 0402 Multilayer Ceramic Capacitors MLCC - SMD/SMT ROHS</t>
  </si>
  <si>
    <t>75V 1V@10mA 4ns 150mA DO-35 Switching Diodes ROHS</t>
  </si>
  <si>
    <t>320A 1V@2A 4A 600V GBU Bridge Rectifiers ROHS</t>
  </si>
  <si>
    <t>SMD5050-4P RGB LEDs(Built-in IC) ROHS</t>
  </si>
  <si>
    <t>40V 550mV@1A 1A DO-41 Schottky Diodes ROHS</t>
  </si>
  <si>
    <t>20mA 360mcd -30℃~+85℃ White 130° 68mW 2.4V~3.4V 0603 LED Indication - Discrete ROHS</t>
  </si>
  <si>
    <t>3A 1 Surface Mount, Right Angle 16P Female -25℃~+85℃ Type-C SMD USB Connectors ROHS</t>
  </si>
  <si>
    <t>USB 2.0 1 Right Angle 4P Female -55℃~+85℃ Type-A Through Hole USB Connectors ROHS</t>
  </si>
  <si>
    <t>USB 3.1 3A 1 Surface Mount, Right Angle 6P Female -30℃~+85℃ Type-C SMD USB Connectors ROHS</t>
  </si>
  <si>
    <t>1x2P 20A -40℃~+105℃ 250V Green 12~22 Through Hole 5mm 2.5 1 2 Through Hole,P=5mm Screw Terminal Blocks ROHS</t>
  </si>
  <si>
    <t>900mA 2nH 70mΩ 0402 Inductors (SMD) ROHS</t>
  </si>
  <si>
    <t>800mA 2.4nH 100mΩ 0402 Inductors (SMD) ROHS</t>
  </si>
  <si>
    <t>4.7uH ±10% 10mA 4.8Ω 0402 Inductors (SMD) ROHS</t>
  </si>
  <si>
    <t>3.9uH ±10% SMD,1.8x1.2mm Inductors (SMD) ROHS</t>
  </si>
  <si>
    <t>25V 400@100mA,1V 300mW 1.5A NPN SOT-23-3 Bipolar (BJT) ROHS</t>
  </si>
  <si>
    <t>375W 80A 650V FS (Field Stop) TO-247 IGBT Transistors / Modules ROHS</t>
  </si>
  <si>
    <t>LEGEND</t>
  </si>
  <si>
    <t>MFN</t>
  </si>
  <si>
    <t>0402WGF5101TCE</t>
  </si>
  <si>
    <t>0402WGF2001TCE</t>
  </si>
  <si>
    <t>ERJUP3J104V</t>
  </si>
  <si>
    <t>FRC0603F5601TS</t>
  </si>
  <si>
    <t>ASR-M-3-0.5F</t>
  </si>
  <si>
    <t>FRC0603F5R10TS</t>
  </si>
  <si>
    <t>RC0603FR-0710RL</t>
  </si>
  <si>
    <t>FRC0603F3302TS</t>
  </si>
  <si>
    <t>ERJPB3B1002V</t>
  </si>
  <si>
    <t>RC0603FR-074R7L</t>
  </si>
  <si>
    <t>RC0402FR-073K3L</t>
  </si>
  <si>
    <t>RC0402FR-0710KL</t>
  </si>
  <si>
    <t>0402WGF1001TCE</t>
  </si>
  <si>
    <t>RC0402FR-0722K1L</t>
  </si>
  <si>
    <t>0402WGF4752TCE</t>
  </si>
  <si>
    <t>RC0402FR-070RL</t>
  </si>
  <si>
    <t>FRC0402F2200TS</t>
  </si>
  <si>
    <t>RC0402FR-07499RL</t>
  </si>
  <si>
    <t>MLG1005S24NHTD25</t>
  </si>
  <si>
    <t>3296W-1-103</t>
  </si>
  <si>
    <t>PTS810SJG250SMTRLFS</t>
  </si>
  <si>
    <t>AP63203WU-7</t>
  </si>
  <si>
    <t>AP63205WU-7</t>
  </si>
  <si>
    <t>W25Q128JVSIQ</t>
  </si>
  <si>
    <t>CP2102N-A02-GQFN28R</t>
  </si>
  <si>
    <t>LD1117-1.8</t>
  </si>
  <si>
    <t>SG3525AP(UMW)</t>
  </si>
  <si>
    <t>L7812CV-DG</t>
  </si>
  <si>
    <t>L7805CV-DG</t>
  </si>
  <si>
    <t>INA219BIDCNR</t>
  </si>
  <si>
    <t>CF4040M00008001</t>
  </si>
  <si>
    <t>CGA0402X5R106M6R3GT</t>
  </si>
  <si>
    <t>TCC0402X5R105M6R3AT</t>
  </si>
  <si>
    <t>01EC4294SHC1000UF25V</t>
  </si>
  <si>
    <t>TCC0402X7R103K500AT</t>
  </si>
  <si>
    <t>50V1uF CD110</t>
  </si>
  <si>
    <t>CD288477M1C0809VFL</t>
  </si>
  <si>
    <t>KF101M45018*36A</t>
  </si>
  <si>
    <t>ECG2WM2R2E12OTBO</t>
  </si>
  <si>
    <t>FV55X104K202EGG</t>
  </si>
  <si>
    <t>CC0603KRX7R9BB103</t>
  </si>
  <si>
    <t>GRM155R60J226ME11D</t>
  </si>
  <si>
    <t>GCM1555C1H6R0BA16D</t>
  </si>
  <si>
    <t>PDMCAT18107-202ML</t>
  </si>
  <si>
    <t>ESD9B3.3ST5G-ES</t>
  </si>
  <si>
    <t>CGA0402X7R104K160GT</t>
  </si>
  <si>
    <t>1N4148</t>
  </si>
  <si>
    <t>GBU406_HF</t>
  </si>
  <si>
    <t>SK6812-B</t>
  </si>
  <si>
    <t>NCD0603W6</t>
  </si>
  <si>
    <t>TYPE-C 16PIN 2MD(073)</t>
  </si>
  <si>
    <t>292303-6</t>
  </si>
  <si>
    <t>USBC-0032IPX8-00</t>
  </si>
  <si>
    <t>WJ128V-5.0-2P</t>
  </si>
  <si>
    <t>MLG1005S2N0BT000</t>
  </si>
  <si>
    <t>LQG15HN2N4S02D</t>
  </si>
  <si>
    <t>WI0402IF4R7KST-HF</t>
  </si>
  <si>
    <t>YWIF1608-3R9K</t>
  </si>
  <si>
    <t>HT8050ARTZ</t>
  </si>
  <si>
    <t>STGWA60H65DFB</t>
  </si>
  <si>
    <t>VALIDATED</t>
  </si>
  <si>
    <t>IN CART</t>
  </si>
  <si>
    <t>ORDERED</t>
  </si>
  <si>
    <t>1x2P 2P EH Tin 2 -25℃~+85℃ 3A 1 2.5mm Brass Through Hole Through Hole,P=2.5mm Wire To Board Connector ROHS</t>
  </si>
  <si>
    <t>1x6P 6P EH Tin 6 -25℃~+85℃ 3A 1 2.5mm Brass Through Hole Through Hole,P=2.5mm Wire To Board Connector ROHS</t>
  </si>
  <si>
    <t>1x4P 4P EH Tin 4 -25℃~+85℃ 3A 1 2.5mm Brass Through Hole Through Hole,P=2.5mm Wire To Board Connector ROHS</t>
  </si>
  <si>
    <t>100mW Thick Film Resistor 75V ±5% -400ppm/℃~+150ppm/℃ 2MΩ 0603 Chip Resistor - Surface Mount ROHS</t>
  </si>
  <si>
    <t>21dBm LX7 Chip 2.4GHz QFN-56(7x7) WiFi Modules ROHS</t>
  </si>
  <si>
    <t>TCC0402COG1R2C500AT</t>
  </si>
  <si>
    <t>B2B-EH-A(LF)(SN)</t>
  </si>
  <si>
    <t>B6B-EH-A(LF)(SN)</t>
  </si>
  <si>
    <t>B4B-EH-A(LF)(SN)</t>
  </si>
  <si>
    <t>ERJ3GEYJ205V</t>
  </si>
  <si>
    <t>ESP32-S3FH4R2</t>
  </si>
  <si>
    <t>BOARD COST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</si>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</sst>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0"/>
      <color theme="0"/>
      <name val="Century Gothic"/>
      <family val="1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b/>
      <sz val="9"/>
      <color theme="0"/>
      <name val="Century Gothic"/>
      <family val="1"/>
    </font>
    <font>
      <b/>
      <sz val="11"/>
      <color theme="1"/>
      <name val="Century Gothic"/>
      <family val="1"/>
    </font>
    <font>
      <b/>
      <sz val="36"/>
      <color theme="3" tint="0.79998168889431442"/>
      <name val="Century Gothic"/>
      <family val="1"/>
    </font>
    <font>
      <b/>
      <sz val="8"/>
      <color theme="0"/>
      <name val="Century Gothic"/>
      <family val="1"/>
    </font>
    <font>
      <b/>
      <sz val="10"/>
      <color theme="1"/>
      <name val="Century Gothic"/>
      <family val="1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65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47">
    <xf numFmtId="0" fontId="0" fillId="0" borderId="0" xfId="0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44" fontId="6" fillId="5" borderId="1" xfId="0" applyNumberFormat="1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 indent="1"/>
    </xf>
    <xf numFmtId="44" fontId="6" fillId="4" borderId="1" xfId="0" applyNumberFormat="1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1" fontId="6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3" xfId="0" applyNumberFormat="1" applyFont="1" applyFill="1" applyBorder="1" applyAlignment="1">
      <alignment horizontal="left" vertical="center" indent="1"/>
    </xf>
    <xf numFmtId="44" fontId="3" fillId="3" borderId="4" xfId="0" applyNumberFormat="1" applyFont="1" applyFill="1" applyBorder="1" applyAlignment="1">
      <alignment horizontal="right" vertical="center" indent="1"/>
    </xf>
    <xf numFmtId="44" fontId="6" fillId="0" borderId="4" xfId="0" applyNumberFormat="1" applyFont="1" applyFill="1" applyBorder="1" applyAlignment="1">
      <alignment horizontal="left" vertical="center" indent="1"/>
    </xf>
    <xf numFmtId="1" fontId="6" fillId="5" borderId="1" xfId="0" applyNumberFormat="1" applyFont="1" applyFill="1" applyBorder="1" applyAlignment="1">
      <alignment horizontal="right" vertical="center" indent="1"/>
    </xf>
    <xf numFmtId="44" fontId="6" fillId="5" borderId="1" xfId="0" applyNumberFormat="1" applyFont="1" applyFill="1" applyBorder="1" applyAlignment="1">
      <alignment horizontal="right" vertical="center" indent="1"/>
    </xf>
    <xf numFmtId="0" fontId="6" fillId="4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right" vertical="center" indent="1"/>
    </xf>
    <xf numFmtId="0" fontId="11" fillId="6" borderId="1" xfId="0" applyFont="1" applyFill="1" applyBorder="1" applyAlignment="1">
      <alignment horizontal="right" vertical="center" indent="1"/>
    </xf>
    <xf numFmtId="0" fontId="11" fillId="3" borderId="1" xfId="0" applyFont="1" applyFill="1" applyBorder="1" applyAlignment="1">
      <alignment horizontal="right" vertical="center" indent="1"/>
    </xf>
    <xf numFmtId="0" fontId="1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7" borderId="0" xfId="0" applyNumberFormat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right" vertical="center" wrapText="1" indent="1"/>
    </xf>
    <xf numFmtId="0" fontId="3" fillId="8" borderId="1" xfId="0" applyNumberFormat="1" applyFont="1" applyFill="1" applyBorder="1" applyAlignment="1">
      <alignment horizontal="left" vertical="center" indent="1"/>
    </xf>
    <xf numFmtId="0" fontId="3" fillId="9" borderId="1" xfId="0" applyNumberFormat="1" applyFont="1" applyFill="1" applyBorder="1" applyAlignment="1">
      <alignment horizontal="left" vertical="center" indent="1"/>
    </xf>
    <xf numFmtId="0" fontId="3" fillId="10" borderId="1" xfId="0" applyNumberFormat="1" applyFont="1" applyFill="1" applyBorder="1" applyAlignment="1">
      <alignment horizontal="left" vertical="center" indent="1"/>
    </xf>
    <xf numFmtId="0" fontId="3" fillId="11" borderId="1" xfId="0" applyNumberFormat="1" applyFont="1" applyFill="1" applyBorder="1" applyAlignment="1">
      <alignment horizontal="left" vertical="center" indent="1"/>
    </xf>
    <xf numFmtId="0" fontId="12" fillId="0" borderId="1" xfId="0" applyNumberFormat="1" applyFont="1" applyFill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wrapText="1" indent="1"/>
    </xf>
    <xf numFmtId="1" fontId="6" fillId="4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left" vertical="center" indent="1"/>
    </xf>
    <xf numFmtId="0" fontId="12" fillId="0" borderId="5" xfId="0" applyNumberFormat="1" applyFont="1" applyFill="1" applyBorder="1" applyAlignment="1">
      <alignment horizontal="left" vertical="center" indent="1"/>
    </xf>
    <xf numFmtId="44" fontId="6" fillId="4" borderId="5" xfId="0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5" xfId="0" applyNumberFormat="1" applyFont="1" applyFill="1" applyBorder="1" applyAlignment="1">
      <alignment horizontal="left" vertical="center" wrapText="1"/>
    </xf>
    <xf numFmtId="0" fontId="3" fillId="3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</cellXfs>
  <cellStyles count="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  <cellStyle name="Normal 2" xfId="17" xr:uid="{00000000-0005-0000-0000-000000000000}"/>
  </cellStyles>
  <dxfs count="16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Process-Flowchart-Template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iness Process Flow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fitToPage="1"/>
  </sheetPr>
  <dimension ref="B1:P90"/>
  <sheetViews>
    <sheetView showGridLines="0" tabSelected="1" zoomScale="90" zoomScaleNormal="90" zoomScalePageLayoutView="75" workbookViewId="0">
      <pane ySplit="8" topLeftCell="A9" activePane="bottomLeft" state="frozen"/>
      <selection pane="bottomLeft" activeCell="Q17" sqref="Q17"/>
    </sheetView>
  </sheetViews>
  <sheetFormatPr baseColWidth="10" defaultColWidth="11" defaultRowHeight="16" x14ac:dyDescent="0.2"/>
  <cols>
    <col min="1" max="1" width="3.33203125" customWidth="1"/>
    <col min="2" max="2" width="13.5" customWidth="1"/>
    <col min="3" max="3" width="25" customWidth="1"/>
    <col min="4" max="4" width="38.5" customWidth="1"/>
    <col min="5" max="5" width="10.83203125" customWidth="1"/>
    <col min="6" max="6" width="16.5" customWidth="1"/>
    <col min="7" max="7" width="28.6640625" customWidth="1"/>
    <col min="8" max="8" width="28.6640625" style="44" customWidth="1"/>
    <col min="9" max="9" width="28.6640625" customWidth="1"/>
    <col min="10" max="11" width="16.83203125" customWidth="1"/>
    <col min="12" max="13" width="12.83203125" customWidth="1"/>
    <col min="14" max="14" width="15.83203125" customWidth="1"/>
    <col min="16" max="16" width="16.83203125" customWidth="1"/>
  </cols>
  <sheetData>
    <row r="1" spans="2:16" ht="42" customHeight="1" x14ac:dyDescent="0.2">
      <c r="B1" s="2" t="s">
        <v>19</v>
      </c>
      <c r="C1" s="1"/>
      <c r="D1" s="1"/>
      <c r="E1" s="1"/>
      <c r="F1" s="1"/>
      <c r="G1" s="1"/>
      <c r="H1" s="38"/>
      <c r="I1" s="1"/>
      <c r="J1" s="1"/>
      <c r="K1" s="1"/>
      <c r="L1" s="1"/>
      <c r="M1" s="1"/>
      <c r="N1" s="1"/>
    </row>
    <row r="2" spans="2:16" ht="25" customHeight="1" x14ac:dyDescent="0.2">
      <c r="B2" s="21" t="s">
        <v>2</v>
      </c>
      <c r="C2" s="10" t="s">
        <v>16</v>
      </c>
      <c r="D2" s="24" t="s">
        <v>4</v>
      </c>
      <c r="E2" s="5"/>
      <c r="F2" s="5"/>
      <c r="G2" s="26"/>
      <c r="H2" s="26"/>
      <c r="I2" s="26"/>
      <c r="J2" s="26"/>
      <c r="K2" s="26"/>
      <c r="L2" s="26"/>
      <c r="M2" s="26"/>
      <c r="N2" s="26"/>
    </row>
    <row r="3" spans="2:16" ht="25" customHeight="1" x14ac:dyDescent="0.2">
      <c r="B3" s="22" t="s">
        <v>3</v>
      </c>
      <c r="C3" s="3" t="s">
        <v>17</v>
      </c>
      <c r="D3" s="20"/>
      <c r="E3" s="5"/>
      <c r="F3" s="5"/>
      <c r="G3" s="26"/>
      <c r="H3" s="26"/>
      <c r="I3" s="26"/>
      <c r="J3" s="26"/>
      <c r="K3" s="26"/>
      <c r="L3" s="26"/>
      <c r="M3" s="26"/>
      <c r="N3" s="26"/>
    </row>
    <row r="4" spans="2:16" ht="25" customHeight="1" x14ac:dyDescent="0.2">
      <c r="B4" s="22" t="s">
        <v>15</v>
      </c>
      <c r="C4" s="9" t="s">
        <v>18</v>
      </c>
      <c r="D4" s="20"/>
      <c r="E4" s="5"/>
      <c r="F4" s="5"/>
      <c r="G4" s="26"/>
      <c r="H4" s="26"/>
      <c r="I4" s="26"/>
      <c r="J4" s="26"/>
      <c r="K4" s="26"/>
      <c r="L4" s="26"/>
      <c r="M4" s="26"/>
      <c r="N4" s="26"/>
    </row>
    <row r="5" spans="2:16" ht="25" customHeight="1" x14ac:dyDescent="0.2">
      <c r="B5" s="23" t="s">
        <v>6</v>
      </c>
      <c r="C5" s="18">
        <v>81</v>
      </c>
      <c r="D5" s="20"/>
      <c r="E5" s="5"/>
      <c r="F5" s="5"/>
      <c r="G5" s="26"/>
      <c r="H5" s="26"/>
      <c r="I5" s="26"/>
      <c r="J5" s="26"/>
      <c r="K5" s="26"/>
      <c r="L5" s="26"/>
      <c r="M5" s="26"/>
      <c r="N5" s="26"/>
    </row>
    <row r="6" spans="2:16" ht="25" customHeight="1" x14ac:dyDescent="0.2">
      <c r="B6" s="23" t="s">
        <v>5</v>
      </c>
      <c r="C6" s="19">
        <f>N90</f>
        <v>67.234700000000032</v>
      </c>
      <c r="D6" s="20"/>
      <c r="E6" s="5"/>
      <c r="F6" s="5"/>
      <c r="G6" s="26"/>
      <c r="H6" s="26"/>
      <c r="I6" s="26"/>
      <c r="J6" s="26"/>
      <c r="K6" s="26"/>
      <c r="L6" s="26"/>
      <c r="M6" s="26"/>
      <c r="N6" s="26"/>
    </row>
    <row r="7" spans="2:16" ht="12" customHeight="1" x14ac:dyDescent="0.2">
      <c r="B7" s="5"/>
      <c r="C7" s="5"/>
      <c r="D7" s="5"/>
      <c r="E7" s="5"/>
      <c r="F7" s="5"/>
      <c r="G7" s="5"/>
      <c r="H7" s="39"/>
      <c r="I7" s="5"/>
      <c r="J7" s="5"/>
      <c r="K7" s="5"/>
      <c r="L7" s="5"/>
      <c r="M7" s="5"/>
      <c r="N7" s="5"/>
    </row>
    <row r="8" spans="2:16" ht="25" customHeight="1" x14ac:dyDescent="0.2">
      <c r="B8" s="25" t="s">
        <v>9</v>
      </c>
      <c r="C8" s="8" t="s">
        <v>10</v>
      </c>
      <c r="D8" s="8" t="s">
        <v>0</v>
      </c>
      <c r="E8" s="8" t="s">
        <v>7</v>
      </c>
      <c r="F8" s="8" t="s">
        <v>248</v>
      </c>
      <c r="G8" s="8" t="s">
        <v>12</v>
      </c>
      <c r="H8" s="40" t="s">
        <v>13</v>
      </c>
      <c r="I8" s="8" t="s">
        <v>315</v>
      </c>
      <c r="J8" s="8" t="s">
        <v>376</v>
      </c>
      <c r="K8" s="8" t="s">
        <v>11</v>
      </c>
      <c r="L8" s="8" t="s">
        <v>1</v>
      </c>
      <c r="M8" s="8" t="s">
        <v>390</v>
      </c>
      <c r="N8" s="8" t="s">
        <v>8</v>
      </c>
      <c r="P8" s="8" t="s">
        <v>314</v>
      </c>
    </row>
    <row r="9" spans="2:16" ht="40" customHeight="1" x14ac:dyDescent="0.2">
      <c r="B9" s="11">
        <v>1</v>
      </c>
      <c r="C9" s="11" t="s">
        <v>25</v>
      </c>
      <c r="D9" s="11" t="s">
        <v>20</v>
      </c>
      <c r="E9" s="45">
        <v>1</v>
      </c>
      <c r="F9" s="12">
        <v>1</v>
      </c>
      <c r="G9" s="6"/>
      <c r="H9" s="41" t="s">
        <v>177</v>
      </c>
      <c r="I9" s="6"/>
      <c r="J9" s="28" t="s">
        <v>376</v>
      </c>
      <c r="K9" s="32"/>
      <c r="L9" s="7">
        <v>0</v>
      </c>
      <c r="M9" s="7">
        <f>E9*L9</f>
        <v>0</v>
      </c>
      <c r="N9" s="4">
        <f>F9*L9</f>
        <v>0</v>
      </c>
      <c r="P9" s="28" t="s">
        <v>376</v>
      </c>
    </row>
    <row r="10" spans="2:16" ht="40" customHeight="1" x14ac:dyDescent="0.2">
      <c r="B10" s="11">
        <v>2</v>
      </c>
      <c r="C10" s="11" t="s">
        <v>26</v>
      </c>
      <c r="D10" s="11" t="s">
        <v>298</v>
      </c>
      <c r="E10" s="45">
        <v>17</v>
      </c>
      <c r="F10" s="45">
        <v>100</v>
      </c>
      <c r="G10" s="6" t="s">
        <v>107</v>
      </c>
      <c r="H10" s="41" t="s">
        <v>178</v>
      </c>
      <c r="I10" s="6" t="s">
        <v>361</v>
      </c>
      <c r="J10" s="28" t="s">
        <v>376</v>
      </c>
      <c r="K10" s="29" t="s">
        <v>377</v>
      </c>
      <c r="L10" s="7">
        <v>8.9999999999999998E-4</v>
      </c>
      <c r="M10" s="7">
        <f t="shared" ref="M10:M73" si="0">E10*L10</f>
        <v>1.5299999999999999E-2</v>
      </c>
      <c r="N10" s="4">
        <f>F10*L10</f>
        <v>0.09</v>
      </c>
      <c r="P10" s="29" t="s">
        <v>377</v>
      </c>
    </row>
    <row r="11" spans="2:16" ht="40" customHeight="1" x14ac:dyDescent="0.2">
      <c r="B11" s="11">
        <v>3</v>
      </c>
      <c r="C11" s="11" t="s">
        <v>27</v>
      </c>
      <c r="D11" s="11" t="s">
        <v>283</v>
      </c>
      <c r="E11" s="45">
        <v>2</v>
      </c>
      <c r="F11" s="45">
        <v>100</v>
      </c>
      <c r="G11" s="6" t="s">
        <v>108</v>
      </c>
      <c r="H11" s="41" t="s">
        <v>179</v>
      </c>
      <c r="I11" s="6" t="s">
        <v>384</v>
      </c>
      <c r="J11" s="28" t="s">
        <v>376</v>
      </c>
      <c r="K11" s="32"/>
      <c r="L11" s="7">
        <v>8.9999999999999998E-4</v>
      </c>
      <c r="M11" s="7">
        <f t="shared" si="0"/>
        <v>1.8E-3</v>
      </c>
      <c r="N11" s="4">
        <f>F11*L11</f>
        <v>0.09</v>
      </c>
      <c r="P11" s="30" t="s">
        <v>378</v>
      </c>
    </row>
    <row r="12" spans="2:16" ht="40" customHeight="1" x14ac:dyDescent="0.2">
      <c r="B12" s="11">
        <v>4</v>
      </c>
      <c r="C12" s="11" t="s">
        <v>28</v>
      </c>
      <c r="D12" s="11" t="s">
        <v>284</v>
      </c>
      <c r="E12" s="45">
        <v>9</v>
      </c>
      <c r="F12" s="45">
        <v>100</v>
      </c>
      <c r="G12" s="6" t="s">
        <v>109</v>
      </c>
      <c r="H12" s="41" t="s">
        <v>180</v>
      </c>
      <c r="I12" s="6" t="s">
        <v>347</v>
      </c>
      <c r="J12" s="28" t="s">
        <v>376</v>
      </c>
      <c r="K12" s="32"/>
      <c r="L12" s="7">
        <v>5.3E-3</v>
      </c>
      <c r="M12" s="7">
        <f t="shared" si="0"/>
        <v>4.7699999999999999E-2</v>
      </c>
      <c r="N12" s="4">
        <f>F12*L12</f>
        <v>0.53</v>
      </c>
      <c r="P12" s="31" t="s">
        <v>14</v>
      </c>
    </row>
    <row r="13" spans="2:16" ht="40" customHeight="1" x14ac:dyDescent="0.2">
      <c r="B13" s="11">
        <v>5</v>
      </c>
      <c r="C13" s="11" t="s">
        <v>29</v>
      </c>
      <c r="D13" s="11" t="s">
        <v>285</v>
      </c>
      <c r="E13" s="45">
        <v>5</v>
      </c>
      <c r="F13" s="45">
        <v>100</v>
      </c>
      <c r="G13" s="6" t="s">
        <v>110</v>
      </c>
      <c r="H13" s="41" t="s">
        <v>181</v>
      </c>
      <c r="I13" s="6" t="s">
        <v>348</v>
      </c>
      <c r="J13" s="28" t="s">
        <v>376</v>
      </c>
      <c r="K13" s="32"/>
      <c r="L13" s="7">
        <v>1.5E-3</v>
      </c>
      <c r="M13" s="7">
        <f t="shared" si="0"/>
        <v>7.4999999999999997E-3</v>
      </c>
      <c r="N13" s="4">
        <f>F13*L13</f>
        <v>0.15</v>
      </c>
    </row>
    <row r="14" spans="2:16" ht="40" customHeight="1" x14ac:dyDescent="0.2">
      <c r="B14" s="11">
        <v>6</v>
      </c>
      <c r="C14" s="11" t="s">
        <v>30</v>
      </c>
      <c r="D14" s="11" t="s">
        <v>286</v>
      </c>
      <c r="E14" s="45">
        <v>2</v>
      </c>
      <c r="F14" s="45">
        <v>10</v>
      </c>
      <c r="G14" s="6" t="s">
        <v>111</v>
      </c>
      <c r="H14" s="41" t="s">
        <v>182</v>
      </c>
      <c r="I14" s="6" t="s">
        <v>349</v>
      </c>
      <c r="J14" s="28" t="s">
        <v>376</v>
      </c>
      <c r="K14" s="32"/>
      <c r="L14" s="7">
        <v>5.2999999999999999E-2</v>
      </c>
      <c r="M14" s="7">
        <f t="shared" si="0"/>
        <v>0.106</v>
      </c>
      <c r="N14" s="4">
        <f>F14*L14</f>
        <v>0.53</v>
      </c>
    </row>
    <row r="15" spans="2:16" ht="40" customHeight="1" x14ac:dyDescent="0.2">
      <c r="B15" s="11">
        <v>7</v>
      </c>
      <c r="C15" s="11" t="s">
        <v>31</v>
      </c>
      <c r="D15" s="11" t="s">
        <v>287</v>
      </c>
      <c r="E15" s="45">
        <v>2</v>
      </c>
      <c r="F15" s="45">
        <v>100</v>
      </c>
      <c r="G15" s="6" t="s">
        <v>112</v>
      </c>
      <c r="H15" s="41" t="s">
        <v>183</v>
      </c>
      <c r="I15" s="6" t="s">
        <v>350</v>
      </c>
      <c r="J15" s="28" t="s">
        <v>376</v>
      </c>
      <c r="K15" s="32"/>
      <c r="L15" s="7">
        <v>8.9999999999999998E-4</v>
      </c>
      <c r="M15" s="7">
        <f t="shared" si="0"/>
        <v>1.8E-3</v>
      </c>
      <c r="N15" s="4">
        <f>F15*L15</f>
        <v>0.09</v>
      </c>
    </row>
    <row r="16" spans="2:16" ht="40" customHeight="1" x14ac:dyDescent="0.2">
      <c r="B16" s="11">
        <v>8</v>
      </c>
      <c r="C16" s="11" t="s">
        <v>32</v>
      </c>
      <c r="D16" s="11" t="s">
        <v>288</v>
      </c>
      <c r="E16" s="45">
        <v>1</v>
      </c>
      <c r="F16" s="45">
        <v>50</v>
      </c>
      <c r="G16" s="6" t="s">
        <v>113</v>
      </c>
      <c r="H16" s="41" t="s">
        <v>184</v>
      </c>
      <c r="I16" s="6" t="s">
        <v>351</v>
      </c>
      <c r="J16" s="28" t="s">
        <v>376</v>
      </c>
      <c r="K16" s="32"/>
      <c r="L16" s="7">
        <v>7.7999999999999996E-3</v>
      </c>
      <c r="M16" s="7">
        <f t="shared" si="0"/>
        <v>7.7999999999999996E-3</v>
      </c>
      <c r="N16" s="4">
        <f>F16*L16</f>
        <v>0.38999999999999996</v>
      </c>
    </row>
    <row r="17" spans="2:14" ht="40" customHeight="1" x14ac:dyDescent="0.2">
      <c r="B17" s="11">
        <v>9</v>
      </c>
      <c r="C17" s="11" t="s">
        <v>33</v>
      </c>
      <c r="D17" s="11" t="s">
        <v>289</v>
      </c>
      <c r="E17" s="45">
        <v>2</v>
      </c>
      <c r="F17" s="45">
        <v>20</v>
      </c>
      <c r="G17" s="6" t="s">
        <v>114</v>
      </c>
      <c r="H17" s="41" t="s">
        <v>185</v>
      </c>
      <c r="I17" s="6" t="s">
        <v>352</v>
      </c>
      <c r="J17" s="28" t="s">
        <v>376</v>
      </c>
      <c r="K17" s="32"/>
      <c r="L17" s="7">
        <v>2.4799999999999999E-2</v>
      </c>
      <c r="M17" s="7">
        <f t="shared" si="0"/>
        <v>4.9599999999999998E-2</v>
      </c>
      <c r="N17" s="4">
        <f>F17*L17</f>
        <v>0.496</v>
      </c>
    </row>
    <row r="18" spans="2:14" ht="40" customHeight="1" x14ac:dyDescent="0.2">
      <c r="B18" s="11">
        <v>10</v>
      </c>
      <c r="C18" s="11" t="s">
        <v>34</v>
      </c>
      <c r="D18" s="11" t="s">
        <v>290</v>
      </c>
      <c r="E18" s="45">
        <v>2</v>
      </c>
      <c r="F18" s="45">
        <v>2</v>
      </c>
      <c r="G18" s="6" t="s">
        <v>115</v>
      </c>
      <c r="H18" s="41" t="s">
        <v>186</v>
      </c>
      <c r="I18" s="6" t="s">
        <v>353</v>
      </c>
      <c r="J18" s="28" t="s">
        <v>376</v>
      </c>
      <c r="K18" s="32"/>
      <c r="L18" s="7">
        <v>0.7621</v>
      </c>
      <c r="M18" s="7">
        <f t="shared" si="0"/>
        <v>1.5242</v>
      </c>
      <c r="N18" s="4">
        <f>F18*L18</f>
        <v>1.5242</v>
      </c>
    </row>
    <row r="19" spans="2:14" ht="40" customHeight="1" x14ac:dyDescent="0.2">
      <c r="B19" s="11">
        <v>11</v>
      </c>
      <c r="C19" s="11" t="s">
        <v>35</v>
      </c>
      <c r="D19" s="11" t="s">
        <v>291</v>
      </c>
      <c r="E19" s="45">
        <v>2</v>
      </c>
      <c r="F19" s="45">
        <v>20</v>
      </c>
      <c r="G19" s="6" t="s">
        <v>116</v>
      </c>
      <c r="H19" s="41" t="s">
        <v>187</v>
      </c>
      <c r="I19" s="6" t="s">
        <v>354</v>
      </c>
      <c r="J19" s="28" t="s">
        <v>376</v>
      </c>
      <c r="K19" s="32"/>
      <c r="L19" s="7">
        <v>3.73E-2</v>
      </c>
      <c r="M19" s="7">
        <f t="shared" si="0"/>
        <v>7.46E-2</v>
      </c>
      <c r="N19" s="4">
        <f>F19*L19</f>
        <v>0.746</v>
      </c>
    </row>
    <row r="20" spans="2:14" ht="40" customHeight="1" x14ac:dyDescent="0.2">
      <c r="B20" s="11">
        <v>12</v>
      </c>
      <c r="C20" s="11" t="s">
        <v>36</v>
      </c>
      <c r="D20" s="11" t="s">
        <v>292</v>
      </c>
      <c r="E20" s="45">
        <v>1</v>
      </c>
      <c r="F20" s="45">
        <v>1</v>
      </c>
      <c r="G20" s="6" t="s">
        <v>117</v>
      </c>
      <c r="H20" s="41" t="s">
        <v>188</v>
      </c>
      <c r="I20" s="6" t="s">
        <v>355</v>
      </c>
      <c r="J20" s="28" t="s">
        <v>376</v>
      </c>
      <c r="K20" s="32"/>
      <c r="L20" s="7">
        <v>0.52210000000000001</v>
      </c>
      <c r="M20" s="7">
        <f t="shared" si="0"/>
        <v>0.52210000000000001</v>
      </c>
      <c r="N20" s="4">
        <f>F20*L20</f>
        <v>0.52210000000000001</v>
      </c>
    </row>
    <row r="21" spans="2:14" ht="40" customHeight="1" x14ac:dyDescent="0.2">
      <c r="B21" s="11">
        <v>13</v>
      </c>
      <c r="C21" s="11" t="s">
        <v>37</v>
      </c>
      <c r="D21" s="11" t="s">
        <v>292</v>
      </c>
      <c r="E21" s="45">
        <v>2</v>
      </c>
      <c r="F21" s="45">
        <v>2</v>
      </c>
      <c r="G21" s="6" t="s">
        <v>117</v>
      </c>
      <c r="H21" s="41" t="s">
        <v>188</v>
      </c>
      <c r="I21" s="6" t="s">
        <v>355</v>
      </c>
      <c r="J21" s="28" t="s">
        <v>376</v>
      </c>
      <c r="K21" s="32"/>
      <c r="L21" s="7">
        <v>0.52210000000000001</v>
      </c>
      <c r="M21" s="7">
        <f t="shared" si="0"/>
        <v>1.0442</v>
      </c>
      <c r="N21" s="4">
        <f>F21*L21</f>
        <v>1.0442</v>
      </c>
    </row>
    <row r="22" spans="2:14" ht="40" customHeight="1" x14ac:dyDescent="0.2">
      <c r="B22" s="11">
        <v>14</v>
      </c>
      <c r="C22" s="11" t="s">
        <v>38</v>
      </c>
      <c r="D22" s="11" t="s">
        <v>293</v>
      </c>
      <c r="E22" s="45">
        <v>1</v>
      </c>
      <c r="F22" s="45">
        <v>100</v>
      </c>
      <c r="G22" s="6" t="s">
        <v>118</v>
      </c>
      <c r="H22" s="41" t="s">
        <v>189</v>
      </c>
      <c r="I22" s="6" t="s">
        <v>356</v>
      </c>
      <c r="J22" s="28" t="s">
        <v>376</v>
      </c>
      <c r="K22" s="32"/>
      <c r="L22" s="7">
        <v>2.2000000000000001E-3</v>
      </c>
      <c r="M22" s="7">
        <f t="shared" si="0"/>
        <v>2.2000000000000001E-3</v>
      </c>
      <c r="N22" s="4">
        <f>F22*L22</f>
        <v>0.22</v>
      </c>
    </row>
    <row r="23" spans="2:14" ht="40" customHeight="1" x14ac:dyDescent="0.2">
      <c r="B23" s="11">
        <v>15</v>
      </c>
      <c r="C23" s="11" t="s">
        <v>39</v>
      </c>
      <c r="D23" s="11" t="s">
        <v>294</v>
      </c>
      <c r="E23" s="45">
        <v>4</v>
      </c>
      <c r="F23" s="45">
        <v>20</v>
      </c>
      <c r="G23" s="6" t="s">
        <v>119</v>
      </c>
      <c r="H23" s="41" t="s">
        <v>190</v>
      </c>
      <c r="I23" s="6" t="s">
        <v>357</v>
      </c>
      <c r="J23" s="28" t="s">
        <v>376</v>
      </c>
      <c r="K23" s="32"/>
      <c r="L23" s="7">
        <v>3.3099999999999997E-2</v>
      </c>
      <c r="M23" s="7">
        <f t="shared" si="0"/>
        <v>0.13239999999999999</v>
      </c>
      <c r="N23" s="4">
        <f>F23*L23</f>
        <v>0.66199999999999992</v>
      </c>
    </row>
    <row r="24" spans="2:14" ht="40" customHeight="1" x14ac:dyDescent="0.2">
      <c r="B24" s="11">
        <v>16</v>
      </c>
      <c r="C24" s="11" t="s">
        <v>40</v>
      </c>
      <c r="D24" s="11" t="s">
        <v>295</v>
      </c>
      <c r="E24" s="45">
        <v>2</v>
      </c>
      <c r="F24" s="45">
        <v>50</v>
      </c>
      <c r="G24" s="6" t="s">
        <v>120</v>
      </c>
      <c r="H24" s="41" t="s">
        <v>191</v>
      </c>
      <c r="I24" s="6" t="s">
        <v>358</v>
      </c>
      <c r="J24" s="28" t="s">
        <v>376</v>
      </c>
      <c r="K24" s="32"/>
      <c r="L24" s="7">
        <v>1.2699999999999999E-2</v>
      </c>
      <c r="M24" s="7">
        <f t="shared" si="0"/>
        <v>2.5399999999999999E-2</v>
      </c>
      <c r="N24" s="4">
        <f>F24*L24</f>
        <v>0.63500000000000001</v>
      </c>
    </row>
    <row r="25" spans="2:14" ht="40" customHeight="1" x14ac:dyDescent="0.2">
      <c r="B25" s="11">
        <v>17</v>
      </c>
      <c r="C25" s="11" t="s">
        <v>41</v>
      </c>
      <c r="D25" s="11" t="s">
        <v>296</v>
      </c>
      <c r="E25" s="45">
        <v>1</v>
      </c>
      <c r="F25" s="45">
        <v>1</v>
      </c>
      <c r="G25" s="6" t="s">
        <v>121</v>
      </c>
      <c r="H25" s="41" t="s">
        <v>192</v>
      </c>
      <c r="I25" s="6" t="s">
        <v>359</v>
      </c>
      <c r="J25" s="28" t="s">
        <v>376</v>
      </c>
      <c r="K25" s="32"/>
      <c r="L25" s="7">
        <v>0.92049999999999998</v>
      </c>
      <c r="M25" s="7">
        <f t="shared" si="0"/>
        <v>0.92049999999999998</v>
      </c>
      <c r="N25" s="4">
        <f>F25*L25</f>
        <v>0.92049999999999998</v>
      </c>
    </row>
    <row r="26" spans="2:14" ht="40" customHeight="1" x14ac:dyDescent="0.2">
      <c r="B26" s="11">
        <v>18</v>
      </c>
      <c r="C26" s="11" t="s">
        <v>42</v>
      </c>
      <c r="D26" s="11" t="s">
        <v>297</v>
      </c>
      <c r="E26" s="45">
        <v>3</v>
      </c>
      <c r="F26" s="45">
        <v>5</v>
      </c>
      <c r="G26" s="6" t="s">
        <v>122</v>
      </c>
      <c r="H26" s="41" t="s">
        <v>193</v>
      </c>
      <c r="I26" s="6" t="s">
        <v>360</v>
      </c>
      <c r="J26" s="28" t="s">
        <v>376</v>
      </c>
      <c r="K26" s="32"/>
      <c r="L26" s="7">
        <v>1.4800000000000001E-2</v>
      </c>
      <c r="M26" s="7">
        <f t="shared" si="0"/>
        <v>4.4400000000000002E-2</v>
      </c>
      <c r="N26" s="4">
        <f>F26*L26</f>
        <v>7.400000000000001E-2</v>
      </c>
    </row>
    <row r="27" spans="2:14" ht="40" customHeight="1" x14ac:dyDescent="0.2">
      <c r="B27" s="11">
        <v>19</v>
      </c>
      <c r="C27" s="11" t="s">
        <v>43</v>
      </c>
      <c r="D27" s="11" t="s">
        <v>282</v>
      </c>
      <c r="E27" s="45">
        <v>4</v>
      </c>
      <c r="F27" s="45">
        <v>20</v>
      </c>
      <c r="G27" s="6" t="s">
        <v>123</v>
      </c>
      <c r="H27" s="41" t="s">
        <v>194</v>
      </c>
      <c r="I27" s="6" t="s">
        <v>21</v>
      </c>
      <c r="J27" s="28" t="s">
        <v>376</v>
      </c>
      <c r="K27" s="32"/>
      <c r="L27" s="7">
        <v>2.8799999999999999E-2</v>
      </c>
      <c r="M27" s="7">
        <f t="shared" si="0"/>
        <v>0.1152</v>
      </c>
      <c r="N27" s="4">
        <f>F27*L27</f>
        <v>0.57599999999999996</v>
      </c>
    </row>
    <row r="28" spans="2:14" ht="40" customHeight="1" x14ac:dyDescent="0.2">
      <c r="B28" s="11">
        <v>20</v>
      </c>
      <c r="C28" s="11" t="s">
        <v>44</v>
      </c>
      <c r="D28" s="11" t="s">
        <v>299</v>
      </c>
      <c r="E28" s="45">
        <v>4</v>
      </c>
      <c r="F28" s="45">
        <v>50</v>
      </c>
      <c r="G28" s="6" t="s">
        <v>124</v>
      </c>
      <c r="H28" s="41" t="s">
        <v>195</v>
      </c>
      <c r="I28" s="6" t="s">
        <v>362</v>
      </c>
      <c r="J28" s="28" t="s">
        <v>376</v>
      </c>
      <c r="K28" s="32"/>
      <c r="L28" s="7">
        <v>8.9999999999999993E-3</v>
      </c>
      <c r="M28" s="7">
        <f t="shared" si="0"/>
        <v>3.5999999999999997E-2</v>
      </c>
      <c r="N28" s="4">
        <f>F28*L28</f>
        <v>0.44999999999999996</v>
      </c>
    </row>
    <row r="29" spans="2:14" ht="40" customHeight="1" x14ac:dyDescent="0.2">
      <c r="B29" s="11">
        <v>21</v>
      </c>
      <c r="C29" s="11" t="s">
        <v>45</v>
      </c>
      <c r="D29" s="11" t="s">
        <v>300</v>
      </c>
      <c r="E29" s="45">
        <v>1</v>
      </c>
      <c r="F29" s="45">
        <v>5</v>
      </c>
      <c r="G29" s="6" t="s">
        <v>125</v>
      </c>
      <c r="H29" s="41" t="s">
        <v>196</v>
      </c>
      <c r="I29" s="6" t="s">
        <v>363</v>
      </c>
      <c r="J29" s="28" t="s">
        <v>376</v>
      </c>
      <c r="K29" s="32"/>
      <c r="L29" s="7">
        <v>0.27360000000000001</v>
      </c>
      <c r="M29" s="7">
        <f t="shared" si="0"/>
        <v>0.27360000000000001</v>
      </c>
      <c r="N29" s="4">
        <f>F29*L29</f>
        <v>1.3680000000000001</v>
      </c>
    </row>
    <row r="30" spans="2:14" ht="40" customHeight="1" x14ac:dyDescent="0.2">
      <c r="B30" s="11">
        <v>22</v>
      </c>
      <c r="C30" s="11" t="s">
        <v>46</v>
      </c>
      <c r="D30" s="11" t="s">
        <v>301</v>
      </c>
      <c r="E30" s="45">
        <v>1</v>
      </c>
      <c r="F30" s="45">
        <v>5</v>
      </c>
      <c r="G30" s="6" t="s">
        <v>126</v>
      </c>
      <c r="H30" s="41" t="s">
        <v>197</v>
      </c>
      <c r="I30" s="6" t="s">
        <v>364</v>
      </c>
      <c r="J30" s="28" t="s">
        <v>376</v>
      </c>
      <c r="K30" s="32"/>
      <c r="L30" s="7">
        <v>8.1900000000000001E-2</v>
      </c>
      <c r="M30" s="7">
        <f t="shared" si="0"/>
        <v>8.1900000000000001E-2</v>
      </c>
      <c r="N30" s="4">
        <f>F30*L30</f>
        <v>0.40949999999999998</v>
      </c>
    </row>
    <row r="31" spans="2:14" ht="40" customHeight="1" x14ac:dyDescent="0.2">
      <c r="B31" s="11">
        <v>23</v>
      </c>
      <c r="C31" s="33" t="s">
        <v>47</v>
      </c>
      <c r="D31" s="33" t="s">
        <v>302</v>
      </c>
      <c r="E31" s="46">
        <v>1</v>
      </c>
      <c r="F31" s="46">
        <v>10</v>
      </c>
      <c r="G31" s="35" t="s">
        <v>127</v>
      </c>
      <c r="H31" s="42" t="s">
        <v>198</v>
      </c>
      <c r="I31" s="35" t="s">
        <v>22</v>
      </c>
      <c r="J31" s="28" t="s">
        <v>376</v>
      </c>
      <c r="K31" s="36"/>
      <c r="L31" s="37">
        <v>7.3099999999999998E-2</v>
      </c>
      <c r="M31" s="7">
        <f t="shared" si="0"/>
        <v>7.3099999999999998E-2</v>
      </c>
      <c r="N31" s="4">
        <f>F31*L31</f>
        <v>0.73099999999999998</v>
      </c>
    </row>
    <row r="32" spans="2:14" ht="40" customHeight="1" x14ac:dyDescent="0.2">
      <c r="B32" s="11">
        <v>24</v>
      </c>
      <c r="C32" s="33" t="s">
        <v>48</v>
      </c>
      <c r="D32" s="33" t="s">
        <v>303</v>
      </c>
      <c r="E32" s="46">
        <v>3</v>
      </c>
      <c r="F32" s="46">
        <v>50</v>
      </c>
      <c r="G32" s="35" t="s">
        <v>128</v>
      </c>
      <c r="H32" s="42" t="s">
        <v>199</v>
      </c>
      <c r="I32" s="35" t="s">
        <v>365</v>
      </c>
      <c r="J32" s="28" t="s">
        <v>376</v>
      </c>
      <c r="K32" s="36"/>
      <c r="L32" s="37">
        <v>9.7000000000000003E-3</v>
      </c>
      <c r="M32" s="7">
        <f t="shared" si="0"/>
        <v>2.9100000000000001E-2</v>
      </c>
      <c r="N32" s="4">
        <f>F32*L32</f>
        <v>0.48499999999999999</v>
      </c>
    </row>
    <row r="33" spans="2:14" ht="40" customHeight="1" x14ac:dyDescent="0.2">
      <c r="B33" s="11">
        <v>25</v>
      </c>
      <c r="C33" s="33" t="s">
        <v>49</v>
      </c>
      <c r="D33" s="33" t="s">
        <v>304</v>
      </c>
      <c r="E33" s="46">
        <v>1</v>
      </c>
      <c r="F33" s="46">
        <v>10</v>
      </c>
      <c r="G33" s="35" t="s">
        <v>129</v>
      </c>
      <c r="H33" s="42" t="s">
        <v>200</v>
      </c>
      <c r="I33" s="35" t="s">
        <v>366</v>
      </c>
      <c r="J33" s="28" t="s">
        <v>376</v>
      </c>
      <c r="K33" s="36"/>
      <c r="L33" s="37">
        <v>5.79E-2</v>
      </c>
      <c r="M33" s="7">
        <f t="shared" si="0"/>
        <v>5.79E-2</v>
      </c>
      <c r="N33" s="4">
        <f>F33*L33</f>
        <v>0.57899999999999996</v>
      </c>
    </row>
    <row r="34" spans="2:14" ht="40" customHeight="1" x14ac:dyDescent="0.2">
      <c r="B34" s="11">
        <v>26</v>
      </c>
      <c r="C34" s="33" t="s">
        <v>50</v>
      </c>
      <c r="D34" s="33" t="s">
        <v>379</v>
      </c>
      <c r="E34" s="46">
        <v>1</v>
      </c>
      <c r="F34" s="46">
        <v>20</v>
      </c>
      <c r="G34" s="35" t="s">
        <v>130</v>
      </c>
      <c r="H34" s="42" t="s">
        <v>201</v>
      </c>
      <c r="I34" s="35" t="s">
        <v>385</v>
      </c>
      <c r="J34" s="28" t="s">
        <v>376</v>
      </c>
      <c r="K34" s="36"/>
      <c r="L34" s="37">
        <v>3.5700000000000003E-2</v>
      </c>
      <c r="M34" s="7">
        <f t="shared" si="0"/>
        <v>3.5700000000000003E-2</v>
      </c>
      <c r="N34" s="4">
        <f>F34*L34</f>
        <v>0.71400000000000008</v>
      </c>
    </row>
    <row r="35" spans="2:14" ht="40" customHeight="1" x14ac:dyDescent="0.2">
      <c r="B35" s="11">
        <v>27</v>
      </c>
      <c r="C35" s="33" t="s">
        <v>51</v>
      </c>
      <c r="D35" s="33" t="s">
        <v>305</v>
      </c>
      <c r="E35" s="46">
        <v>1</v>
      </c>
      <c r="F35" s="46">
        <v>1</v>
      </c>
      <c r="G35" s="35" t="s">
        <v>131</v>
      </c>
      <c r="H35" s="42" t="s">
        <v>202</v>
      </c>
      <c r="I35" s="35" t="s">
        <v>367</v>
      </c>
      <c r="J35" s="28" t="s">
        <v>376</v>
      </c>
      <c r="K35" s="36"/>
      <c r="L35" s="37">
        <v>0.999</v>
      </c>
      <c r="M35" s="7">
        <f t="shared" si="0"/>
        <v>0.999</v>
      </c>
      <c r="N35" s="4">
        <f>F35*L35</f>
        <v>0.999</v>
      </c>
    </row>
    <row r="36" spans="2:14" ht="40" customHeight="1" x14ac:dyDescent="0.2">
      <c r="B36" s="11">
        <v>28</v>
      </c>
      <c r="C36" s="33" t="s">
        <v>52</v>
      </c>
      <c r="D36" s="33" t="s">
        <v>306</v>
      </c>
      <c r="E36" s="46">
        <v>1</v>
      </c>
      <c r="F36" s="46">
        <v>1</v>
      </c>
      <c r="G36" s="35" t="s">
        <v>132</v>
      </c>
      <c r="H36" s="42" t="s">
        <v>203</v>
      </c>
      <c r="I36" s="35" t="s">
        <v>368</v>
      </c>
      <c r="J36" s="28" t="s">
        <v>376</v>
      </c>
      <c r="K36" s="36"/>
      <c r="L36" s="37">
        <v>0.75529999999999997</v>
      </c>
      <c r="M36" s="7">
        <f t="shared" si="0"/>
        <v>0.75529999999999997</v>
      </c>
      <c r="N36" s="4">
        <f>F36*L36</f>
        <v>0.75529999999999997</v>
      </c>
    </row>
    <row r="37" spans="2:14" ht="40" customHeight="1" x14ac:dyDescent="0.2">
      <c r="B37" s="11">
        <v>29</v>
      </c>
      <c r="C37" s="33" t="s">
        <v>53</v>
      </c>
      <c r="D37" s="33" t="s">
        <v>380</v>
      </c>
      <c r="E37" s="46">
        <v>1</v>
      </c>
      <c r="F37" s="46">
        <v>5</v>
      </c>
      <c r="G37" s="35" t="s">
        <v>133</v>
      </c>
      <c r="H37" s="42" t="s">
        <v>204</v>
      </c>
      <c r="I37" s="35" t="s">
        <v>386</v>
      </c>
      <c r="J37" s="36"/>
      <c r="K37" s="36"/>
      <c r="L37" s="37">
        <v>3.9600000000000003E-2</v>
      </c>
      <c r="M37" s="7">
        <f t="shared" si="0"/>
        <v>3.9600000000000003E-2</v>
      </c>
      <c r="N37" s="4">
        <f>F37*L37</f>
        <v>0.19800000000000001</v>
      </c>
    </row>
    <row r="38" spans="2:14" ht="40" customHeight="1" x14ac:dyDescent="0.2">
      <c r="B38" s="11">
        <v>30</v>
      </c>
      <c r="C38" s="33" t="s">
        <v>54</v>
      </c>
      <c r="D38" s="33" t="s">
        <v>106</v>
      </c>
      <c r="E38" s="46">
        <v>1</v>
      </c>
      <c r="F38" s="34"/>
      <c r="G38" s="35" t="s">
        <v>106</v>
      </c>
      <c r="H38" s="42"/>
      <c r="I38" s="35" t="s">
        <v>106</v>
      </c>
      <c r="J38" s="36"/>
      <c r="K38" s="36"/>
      <c r="L38" s="37">
        <v>0</v>
      </c>
      <c r="M38" s="7">
        <f t="shared" si="0"/>
        <v>0</v>
      </c>
      <c r="N38" s="4">
        <f>F38*L38</f>
        <v>0</v>
      </c>
    </row>
    <row r="39" spans="2:14" ht="40" customHeight="1" x14ac:dyDescent="0.2">
      <c r="B39" s="11">
        <v>31</v>
      </c>
      <c r="C39" s="33" t="s">
        <v>55</v>
      </c>
      <c r="D39" s="33" t="s">
        <v>307</v>
      </c>
      <c r="E39" s="46">
        <v>1</v>
      </c>
      <c r="F39" s="46">
        <v>5</v>
      </c>
      <c r="G39" s="35" t="s">
        <v>134</v>
      </c>
      <c r="H39" s="42" t="s">
        <v>205</v>
      </c>
      <c r="I39" s="35" t="s">
        <v>369</v>
      </c>
      <c r="J39" s="36"/>
      <c r="K39" s="36"/>
      <c r="L39" s="37">
        <v>0.12189999999999999</v>
      </c>
      <c r="M39" s="7">
        <f t="shared" si="0"/>
        <v>0.12189999999999999</v>
      </c>
      <c r="N39" s="4">
        <f>F39*L39</f>
        <v>0.60949999999999993</v>
      </c>
    </row>
    <row r="40" spans="2:14" ht="40" customHeight="1" x14ac:dyDescent="0.2">
      <c r="B40" s="11">
        <v>32</v>
      </c>
      <c r="C40" s="33" t="s">
        <v>56</v>
      </c>
      <c r="D40" s="33" t="s">
        <v>106</v>
      </c>
      <c r="E40" s="46">
        <v>1</v>
      </c>
      <c r="F40" s="34"/>
      <c r="G40" s="35" t="s">
        <v>106</v>
      </c>
      <c r="H40" s="42"/>
      <c r="I40" s="35" t="s">
        <v>106</v>
      </c>
      <c r="J40" s="36"/>
      <c r="K40" s="36"/>
      <c r="L40" s="37">
        <v>0</v>
      </c>
      <c r="M40" s="7">
        <f t="shared" si="0"/>
        <v>0</v>
      </c>
      <c r="N40" s="4">
        <f>F40*L40</f>
        <v>0</v>
      </c>
    </row>
    <row r="41" spans="2:14" ht="40" customHeight="1" x14ac:dyDescent="0.2">
      <c r="B41" s="11">
        <v>33</v>
      </c>
      <c r="C41" s="33" t="s">
        <v>57</v>
      </c>
      <c r="D41" s="33" t="s">
        <v>307</v>
      </c>
      <c r="E41" s="46">
        <v>1</v>
      </c>
      <c r="F41" s="46">
        <v>5</v>
      </c>
      <c r="G41" s="35" t="s">
        <v>134</v>
      </c>
      <c r="H41" s="42" t="s">
        <v>205</v>
      </c>
      <c r="I41" s="35" t="s">
        <v>369</v>
      </c>
      <c r="J41" s="36"/>
      <c r="K41" s="36"/>
      <c r="L41" s="37">
        <v>0.12189999999999999</v>
      </c>
      <c r="M41" s="7">
        <f t="shared" si="0"/>
        <v>0.12189999999999999</v>
      </c>
      <c r="N41" s="4">
        <f>F41*L41</f>
        <v>0.60949999999999993</v>
      </c>
    </row>
    <row r="42" spans="2:14" ht="40" customHeight="1" x14ac:dyDescent="0.2">
      <c r="B42" s="11">
        <v>34</v>
      </c>
      <c r="C42" s="33" t="s">
        <v>58</v>
      </c>
      <c r="D42" s="33" t="s">
        <v>106</v>
      </c>
      <c r="E42" s="46">
        <v>1</v>
      </c>
      <c r="F42" s="34"/>
      <c r="G42" s="35" t="s">
        <v>106</v>
      </c>
      <c r="H42" s="42"/>
      <c r="I42" s="35" t="s">
        <v>106</v>
      </c>
      <c r="J42" s="36"/>
      <c r="K42" s="36"/>
      <c r="L42" s="37">
        <v>0</v>
      </c>
      <c r="M42" s="7">
        <f t="shared" si="0"/>
        <v>0</v>
      </c>
      <c r="N42" s="4">
        <f>F42*L42</f>
        <v>0</v>
      </c>
    </row>
    <row r="43" spans="2:14" ht="40" customHeight="1" x14ac:dyDescent="0.2">
      <c r="B43" s="11">
        <v>35</v>
      </c>
      <c r="C43" s="33" t="s">
        <v>59</v>
      </c>
      <c r="D43" s="33" t="s">
        <v>379</v>
      </c>
      <c r="E43" s="46">
        <v>1</v>
      </c>
      <c r="F43" s="46">
        <v>20</v>
      </c>
      <c r="G43" s="35" t="s">
        <v>130</v>
      </c>
      <c r="H43" s="42" t="s">
        <v>201</v>
      </c>
      <c r="I43" s="35" t="s">
        <v>385</v>
      </c>
      <c r="J43" s="36"/>
      <c r="K43" s="36"/>
      <c r="L43" s="37">
        <v>3.5700000000000003E-2</v>
      </c>
      <c r="M43" s="7">
        <f t="shared" si="0"/>
        <v>3.5700000000000003E-2</v>
      </c>
      <c r="N43" s="4">
        <f>F43*L43</f>
        <v>0.71400000000000008</v>
      </c>
    </row>
    <row r="44" spans="2:14" ht="40" customHeight="1" x14ac:dyDescent="0.2">
      <c r="B44" s="11">
        <v>36</v>
      </c>
      <c r="C44" s="33" t="s">
        <v>60</v>
      </c>
      <c r="D44" s="33" t="s">
        <v>381</v>
      </c>
      <c r="E44" s="46">
        <v>1</v>
      </c>
      <c r="F44" s="46">
        <v>10</v>
      </c>
      <c r="G44" s="35" t="s">
        <v>135</v>
      </c>
      <c r="H44" s="42" t="s">
        <v>206</v>
      </c>
      <c r="I44" s="35" t="s">
        <v>387</v>
      </c>
      <c r="J44" s="36"/>
      <c r="K44" s="36"/>
      <c r="L44" s="37">
        <v>5.3499999999999999E-2</v>
      </c>
      <c r="M44" s="7">
        <f t="shared" si="0"/>
        <v>5.3499999999999999E-2</v>
      </c>
      <c r="N44" s="4">
        <f>F44*L44</f>
        <v>0.53500000000000003</v>
      </c>
    </row>
    <row r="45" spans="2:14" ht="40" customHeight="1" x14ac:dyDescent="0.2">
      <c r="B45" s="11">
        <v>37</v>
      </c>
      <c r="C45" s="33" t="s">
        <v>61</v>
      </c>
      <c r="D45" s="33" t="s">
        <v>308</v>
      </c>
      <c r="E45" s="46">
        <v>1</v>
      </c>
      <c r="F45" s="46">
        <v>10</v>
      </c>
      <c r="G45" s="35" t="s">
        <v>136</v>
      </c>
      <c r="H45" s="42" t="s">
        <v>207</v>
      </c>
      <c r="I45" s="35" t="s">
        <v>370</v>
      </c>
      <c r="J45" s="28" t="s">
        <v>376</v>
      </c>
      <c r="K45" s="36"/>
      <c r="L45" s="37">
        <v>8.0999999999999996E-3</v>
      </c>
      <c r="M45" s="7">
        <f t="shared" si="0"/>
        <v>8.0999999999999996E-3</v>
      </c>
      <c r="N45" s="4">
        <f>F45*L45</f>
        <v>8.0999999999999989E-2</v>
      </c>
    </row>
    <row r="46" spans="2:14" ht="40" customHeight="1" x14ac:dyDescent="0.2">
      <c r="B46" s="11">
        <v>38</v>
      </c>
      <c r="C46" s="33" t="s">
        <v>62</v>
      </c>
      <c r="D46" s="33" t="s">
        <v>309</v>
      </c>
      <c r="E46" s="46">
        <v>1</v>
      </c>
      <c r="F46" s="46">
        <v>50</v>
      </c>
      <c r="G46" s="35" t="s">
        <v>137</v>
      </c>
      <c r="H46" s="42" t="s">
        <v>208</v>
      </c>
      <c r="I46" s="35" t="s">
        <v>371</v>
      </c>
      <c r="J46" s="28" t="s">
        <v>376</v>
      </c>
      <c r="K46" s="36"/>
      <c r="L46" s="37">
        <v>9.1999999999999998E-3</v>
      </c>
      <c r="M46" s="7">
        <f t="shared" si="0"/>
        <v>9.1999999999999998E-3</v>
      </c>
      <c r="N46" s="4">
        <f>F46*L46</f>
        <v>0.45999999999999996</v>
      </c>
    </row>
    <row r="47" spans="2:14" ht="40" customHeight="1" x14ac:dyDescent="0.2">
      <c r="B47" s="11">
        <v>39</v>
      </c>
      <c r="C47" s="33" t="s">
        <v>63</v>
      </c>
      <c r="D47" s="33" t="s">
        <v>106</v>
      </c>
      <c r="E47" s="46">
        <v>1</v>
      </c>
      <c r="F47" s="34"/>
      <c r="G47" s="35" t="s">
        <v>106</v>
      </c>
      <c r="H47" s="42"/>
      <c r="I47" s="35" t="s">
        <v>106</v>
      </c>
      <c r="J47" s="36"/>
      <c r="K47" s="36"/>
      <c r="L47" s="37">
        <v>0</v>
      </c>
      <c r="M47" s="7">
        <f t="shared" si="0"/>
        <v>0</v>
      </c>
      <c r="N47" s="4">
        <f>F47*L47</f>
        <v>0</v>
      </c>
    </row>
    <row r="48" spans="2:14" ht="40" customHeight="1" x14ac:dyDescent="0.2">
      <c r="B48" s="11">
        <v>40</v>
      </c>
      <c r="C48" s="33" t="s">
        <v>64</v>
      </c>
      <c r="D48" s="33" t="s">
        <v>310</v>
      </c>
      <c r="E48" s="46">
        <v>1</v>
      </c>
      <c r="F48" s="46">
        <v>10</v>
      </c>
      <c r="G48" s="35" t="s">
        <v>138</v>
      </c>
      <c r="H48" s="42" t="s">
        <v>209</v>
      </c>
      <c r="I48" s="35" t="s">
        <v>372</v>
      </c>
      <c r="J48" s="28" t="s">
        <v>376</v>
      </c>
      <c r="K48" s="36"/>
      <c r="L48" s="37">
        <v>5.8299999999999998E-2</v>
      </c>
      <c r="M48" s="7">
        <f t="shared" si="0"/>
        <v>5.8299999999999998E-2</v>
      </c>
      <c r="N48" s="4">
        <f>F48*L48</f>
        <v>0.58299999999999996</v>
      </c>
    </row>
    <row r="49" spans="2:14" ht="40" customHeight="1" x14ac:dyDescent="0.2">
      <c r="B49" s="11">
        <v>41</v>
      </c>
      <c r="C49" s="33" t="s">
        <v>65</v>
      </c>
      <c r="D49" s="33" t="s">
        <v>311</v>
      </c>
      <c r="E49" s="46">
        <v>1</v>
      </c>
      <c r="F49" s="46">
        <v>10</v>
      </c>
      <c r="G49" s="35" t="s">
        <v>139</v>
      </c>
      <c r="H49" s="42" t="s">
        <v>210</v>
      </c>
      <c r="I49" s="35" t="s">
        <v>373</v>
      </c>
      <c r="J49" s="28" t="s">
        <v>376</v>
      </c>
      <c r="K49" s="36"/>
      <c r="L49" s="37">
        <v>4.8399999999999999E-2</v>
      </c>
      <c r="M49" s="7">
        <f t="shared" si="0"/>
        <v>4.8399999999999999E-2</v>
      </c>
      <c r="N49" s="4">
        <f>F49*L49</f>
        <v>0.48399999999999999</v>
      </c>
    </row>
    <row r="50" spans="2:14" ht="40" customHeight="1" x14ac:dyDescent="0.2">
      <c r="B50" s="11">
        <v>42</v>
      </c>
      <c r="C50" s="33" t="s">
        <v>66</v>
      </c>
      <c r="D50" s="33" t="s">
        <v>312</v>
      </c>
      <c r="E50" s="46">
        <v>3</v>
      </c>
      <c r="F50" s="46">
        <v>50</v>
      </c>
      <c r="G50" s="35" t="s">
        <v>140</v>
      </c>
      <c r="H50" s="42" t="s">
        <v>211</v>
      </c>
      <c r="I50" s="35" t="s">
        <v>374</v>
      </c>
      <c r="J50" s="28" t="s">
        <v>376</v>
      </c>
      <c r="K50" s="36"/>
      <c r="L50" s="37">
        <v>4.1000000000000003E-3</v>
      </c>
      <c r="M50" s="7">
        <f t="shared" si="0"/>
        <v>1.2300000000000002E-2</v>
      </c>
      <c r="N50" s="4">
        <f>F50*L50</f>
        <v>0.20500000000000002</v>
      </c>
    </row>
    <row r="51" spans="2:14" ht="40" customHeight="1" x14ac:dyDescent="0.2">
      <c r="B51" s="11">
        <v>43</v>
      </c>
      <c r="C51" s="33" t="s">
        <v>67</v>
      </c>
      <c r="D51" s="33" t="s">
        <v>313</v>
      </c>
      <c r="E51" s="46">
        <v>4</v>
      </c>
      <c r="F51" s="46">
        <v>4</v>
      </c>
      <c r="G51" s="35" t="s">
        <v>141</v>
      </c>
      <c r="H51" s="42" t="s">
        <v>212</v>
      </c>
      <c r="I51" s="35" t="s">
        <v>375</v>
      </c>
      <c r="J51" s="28" t="s">
        <v>376</v>
      </c>
      <c r="K51" s="36"/>
      <c r="L51" s="37">
        <v>3.4401999999999999</v>
      </c>
      <c r="M51" s="7">
        <f t="shared" si="0"/>
        <v>13.7608</v>
      </c>
      <c r="N51" s="4">
        <f>F51*L51</f>
        <v>13.7608</v>
      </c>
    </row>
    <row r="52" spans="2:14" ht="40" customHeight="1" x14ac:dyDescent="0.2">
      <c r="B52" s="11">
        <v>44</v>
      </c>
      <c r="C52" s="33" t="s">
        <v>68</v>
      </c>
      <c r="D52" s="33" t="s">
        <v>266</v>
      </c>
      <c r="E52" s="46">
        <v>2</v>
      </c>
      <c r="F52" s="46">
        <v>50</v>
      </c>
      <c r="G52" s="35" t="s">
        <v>142</v>
      </c>
      <c r="H52" s="42" t="s">
        <v>213</v>
      </c>
      <c r="I52" s="35" t="s">
        <v>23</v>
      </c>
      <c r="J52" s="28" t="s">
        <v>376</v>
      </c>
      <c r="K52" s="36"/>
      <c r="L52" s="37">
        <v>1.09E-2</v>
      </c>
      <c r="M52" s="7">
        <f t="shared" si="0"/>
        <v>2.18E-2</v>
      </c>
      <c r="N52" s="4">
        <f>F52*L52</f>
        <v>0.54500000000000004</v>
      </c>
    </row>
    <row r="53" spans="2:14" ht="40" customHeight="1" x14ac:dyDescent="0.2">
      <c r="B53" s="11">
        <v>45</v>
      </c>
      <c r="C53" s="33" t="s">
        <v>69</v>
      </c>
      <c r="D53" s="33" t="s">
        <v>265</v>
      </c>
      <c r="E53" s="46">
        <v>4</v>
      </c>
      <c r="F53" s="46">
        <v>5</v>
      </c>
      <c r="G53" s="35" t="s">
        <v>143</v>
      </c>
      <c r="H53" s="42" t="s">
        <v>214</v>
      </c>
      <c r="I53" s="35" t="s">
        <v>24</v>
      </c>
      <c r="J53" s="28" t="s">
        <v>376</v>
      </c>
      <c r="K53" s="36"/>
      <c r="L53" s="37">
        <v>0.3659</v>
      </c>
      <c r="M53" s="7">
        <f t="shared" si="0"/>
        <v>1.4636</v>
      </c>
      <c r="N53" s="4">
        <f>F53*L53</f>
        <v>1.8294999999999999</v>
      </c>
    </row>
    <row r="54" spans="2:14" ht="40" customHeight="1" x14ac:dyDescent="0.2">
      <c r="B54" s="11">
        <v>46</v>
      </c>
      <c r="C54" s="33" t="s">
        <v>70</v>
      </c>
      <c r="D54" s="33" t="s">
        <v>264</v>
      </c>
      <c r="E54" s="46">
        <v>12</v>
      </c>
      <c r="F54" s="46">
        <v>100</v>
      </c>
      <c r="G54" s="35" t="s">
        <v>144</v>
      </c>
      <c r="H54" s="42" t="s">
        <v>215</v>
      </c>
      <c r="I54" s="35" t="s">
        <v>331</v>
      </c>
      <c r="J54" s="28" t="s">
        <v>376</v>
      </c>
      <c r="K54" s="36"/>
      <c r="L54" s="37">
        <v>5.9999999999999995E-4</v>
      </c>
      <c r="M54" s="7">
        <f t="shared" si="0"/>
        <v>7.1999999999999998E-3</v>
      </c>
      <c r="N54" s="4">
        <f>F54*L54</f>
        <v>0.06</v>
      </c>
    </row>
    <row r="55" spans="2:14" ht="40" customHeight="1" x14ac:dyDescent="0.2">
      <c r="B55" s="11">
        <v>47</v>
      </c>
      <c r="C55" s="33" t="s">
        <v>71</v>
      </c>
      <c r="D55" s="33" t="s">
        <v>263</v>
      </c>
      <c r="E55" s="46">
        <v>1</v>
      </c>
      <c r="F55" s="46">
        <v>100</v>
      </c>
      <c r="G55" s="35" t="s">
        <v>145</v>
      </c>
      <c r="H55" s="42" t="s">
        <v>216</v>
      </c>
      <c r="I55" s="35" t="s">
        <v>330</v>
      </c>
      <c r="J55" s="28" t="s">
        <v>376</v>
      </c>
      <c r="K55" s="36"/>
      <c r="L55" s="37">
        <v>5.0000000000000001E-4</v>
      </c>
      <c r="M55" s="7">
        <f t="shared" si="0"/>
        <v>5.0000000000000001E-4</v>
      </c>
      <c r="N55" s="4">
        <f>F55*L55</f>
        <v>0.05</v>
      </c>
    </row>
    <row r="56" spans="2:14" ht="40" customHeight="1" x14ac:dyDescent="0.2">
      <c r="B56" s="11">
        <v>48</v>
      </c>
      <c r="C56" s="33" t="s">
        <v>72</v>
      </c>
      <c r="D56" s="33" t="s">
        <v>262</v>
      </c>
      <c r="E56" s="46">
        <v>1</v>
      </c>
      <c r="F56" s="46">
        <v>100</v>
      </c>
      <c r="G56" s="35" t="s">
        <v>146</v>
      </c>
      <c r="H56" s="42" t="s">
        <v>217</v>
      </c>
      <c r="I56" s="35" t="s">
        <v>329</v>
      </c>
      <c r="J56" s="28" t="s">
        <v>376</v>
      </c>
      <c r="K56" s="36"/>
      <c r="L56" s="37">
        <v>6.9999999999999999E-4</v>
      </c>
      <c r="M56" s="7">
        <f t="shared" si="0"/>
        <v>6.9999999999999999E-4</v>
      </c>
      <c r="N56" s="4">
        <f>F56*L56</f>
        <v>6.9999999999999993E-2</v>
      </c>
    </row>
    <row r="57" spans="2:14" ht="40" customHeight="1" x14ac:dyDescent="0.2">
      <c r="B57" s="11">
        <v>49</v>
      </c>
      <c r="C57" s="33" t="s">
        <v>73</v>
      </c>
      <c r="D57" s="33" t="s">
        <v>261</v>
      </c>
      <c r="E57" s="46">
        <v>3</v>
      </c>
      <c r="F57" s="46">
        <v>100</v>
      </c>
      <c r="G57" s="35" t="s">
        <v>147</v>
      </c>
      <c r="H57" s="42" t="s">
        <v>218</v>
      </c>
      <c r="I57" s="35" t="s">
        <v>328</v>
      </c>
      <c r="J57" s="28" t="s">
        <v>376</v>
      </c>
      <c r="K57" s="36"/>
      <c r="L57" s="37">
        <v>5.9999999999999995E-4</v>
      </c>
      <c r="M57" s="7">
        <f t="shared" si="0"/>
        <v>1.8E-3</v>
      </c>
      <c r="N57" s="4">
        <f>F57*L57</f>
        <v>0.06</v>
      </c>
    </row>
    <row r="58" spans="2:14" ht="40" customHeight="1" x14ac:dyDescent="0.2">
      <c r="B58" s="11">
        <v>50</v>
      </c>
      <c r="C58" s="33" t="s">
        <v>74</v>
      </c>
      <c r="D58" s="33" t="s">
        <v>260</v>
      </c>
      <c r="E58" s="46">
        <v>2</v>
      </c>
      <c r="F58" s="46">
        <v>100</v>
      </c>
      <c r="G58" s="35" t="s">
        <v>148</v>
      </c>
      <c r="H58" s="42" t="s">
        <v>219</v>
      </c>
      <c r="I58" s="35" t="s">
        <v>327</v>
      </c>
      <c r="J58" s="28" t="s">
        <v>376</v>
      </c>
      <c r="K58" s="36"/>
      <c r="L58" s="37">
        <v>5.9999999999999995E-4</v>
      </c>
      <c r="M58" s="7">
        <f t="shared" si="0"/>
        <v>1.1999999999999999E-3</v>
      </c>
      <c r="N58" s="4">
        <f>F58*L58</f>
        <v>0.06</v>
      </c>
    </row>
    <row r="59" spans="2:14" ht="40" customHeight="1" x14ac:dyDescent="0.2">
      <c r="B59" s="11">
        <v>51</v>
      </c>
      <c r="C59" s="33" t="s">
        <v>75</v>
      </c>
      <c r="D59" s="33" t="s">
        <v>260</v>
      </c>
      <c r="E59" s="46">
        <v>7</v>
      </c>
      <c r="F59" s="46">
        <v>100</v>
      </c>
      <c r="G59" s="35" t="s">
        <v>148</v>
      </c>
      <c r="H59" s="42" t="s">
        <v>219</v>
      </c>
      <c r="I59" s="35" t="s">
        <v>327</v>
      </c>
      <c r="J59" s="36"/>
      <c r="K59" s="36"/>
      <c r="L59" s="37">
        <v>5.9999999999999995E-4</v>
      </c>
      <c r="M59" s="7">
        <f t="shared" si="0"/>
        <v>4.1999999999999997E-3</v>
      </c>
      <c r="N59" s="4">
        <f>F59*L59</f>
        <v>0.06</v>
      </c>
    </row>
    <row r="60" spans="2:14" ht="40" customHeight="1" x14ac:dyDescent="0.2">
      <c r="B60" s="11">
        <v>52</v>
      </c>
      <c r="C60" s="33" t="s">
        <v>76</v>
      </c>
      <c r="D60" s="33" t="s">
        <v>264</v>
      </c>
      <c r="E60" s="46">
        <v>1</v>
      </c>
      <c r="F60" s="46">
        <v>100</v>
      </c>
      <c r="G60" s="35" t="s">
        <v>144</v>
      </c>
      <c r="H60" s="42" t="s">
        <v>215</v>
      </c>
      <c r="I60" s="35" t="s">
        <v>331</v>
      </c>
      <c r="J60" s="36"/>
      <c r="K60" s="36"/>
      <c r="L60" s="37">
        <v>5.9999999999999995E-4</v>
      </c>
      <c r="M60" s="7">
        <f t="shared" si="0"/>
        <v>5.9999999999999995E-4</v>
      </c>
      <c r="N60" s="4">
        <f>F60*L60</f>
        <v>0.06</v>
      </c>
    </row>
    <row r="61" spans="2:14" ht="40" customHeight="1" x14ac:dyDescent="0.2">
      <c r="B61" s="11">
        <v>53</v>
      </c>
      <c r="C61" s="33" t="s">
        <v>77</v>
      </c>
      <c r="D61" s="33" t="s">
        <v>382</v>
      </c>
      <c r="E61" s="46">
        <v>2</v>
      </c>
      <c r="F61" s="46">
        <v>50</v>
      </c>
      <c r="G61" s="35" t="s">
        <v>149</v>
      </c>
      <c r="H61" s="42" t="s">
        <v>220</v>
      </c>
      <c r="I61" s="35" t="s">
        <v>388</v>
      </c>
      <c r="J61" s="36"/>
      <c r="K61" s="36"/>
      <c r="L61" s="37">
        <v>6.0000000000000001E-3</v>
      </c>
      <c r="M61" s="7">
        <f t="shared" si="0"/>
        <v>1.2E-2</v>
      </c>
      <c r="N61" s="4">
        <f>F61*L61</f>
        <v>0.3</v>
      </c>
    </row>
    <row r="62" spans="2:14" ht="40" customHeight="1" x14ac:dyDescent="0.2">
      <c r="B62" s="11">
        <v>54</v>
      </c>
      <c r="C62" s="33" t="s">
        <v>78</v>
      </c>
      <c r="D62" s="33" t="s">
        <v>259</v>
      </c>
      <c r="E62" s="46">
        <v>1</v>
      </c>
      <c r="F62" s="46">
        <v>100</v>
      </c>
      <c r="G62" s="35" t="s">
        <v>150</v>
      </c>
      <c r="H62" s="42" t="s">
        <v>221</v>
      </c>
      <c r="I62" s="35" t="s">
        <v>326</v>
      </c>
      <c r="J62" s="36"/>
      <c r="K62" s="36"/>
      <c r="L62" s="37">
        <v>6.9999999999999999E-4</v>
      </c>
      <c r="M62" s="7">
        <f t="shared" si="0"/>
        <v>6.9999999999999999E-4</v>
      </c>
      <c r="N62" s="4">
        <f>F62*L62</f>
        <v>6.9999999999999993E-2</v>
      </c>
    </row>
    <row r="63" spans="2:14" ht="40" customHeight="1" x14ac:dyDescent="0.2">
      <c r="B63" s="11">
        <v>55</v>
      </c>
      <c r="C63" s="33" t="s">
        <v>79</v>
      </c>
      <c r="D63" s="33" t="s">
        <v>249</v>
      </c>
      <c r="E63" s="46">
        <v>4</v>
      </c>
      <c r="F63" s="46">
        <v>100</v>
      </c>
      <c r="G63" s="35" t="s">
        <v>151</v>
      </c>
      <c r="H63" s="42" t="s">
        <v>222</v>
      </c>
      <c r="I63" s="35" t="s">
        <v>316</v>
      </c>
      <c r="J63" s="36"/>
      <c r="K63" s="36"/>
      <c r="L63" s="37">
        <v>5.0000000000000001E-4</v>
      </c>
      <c r="M63" s="7">
        <f t="shared" si="0"/>
        <v>2E-3</v>
      </c>
      <c r="N63" s="4">
        <f>F63*L63</f>
        <v>0.05</v>
      </c>
    </row>
    <row r="64" spans="2:14" ht="40" customHeight="1" x14ac:dyDescent="0.2">
      <c r="B64" s="11">
        <v>56</v>
      </c>
      <c r="C64" s="33" t="s">
        <v>80</v>
      </c>
      <c r="D64" s="33" t="s">
        <v>257</v>
      </c>
      <c r="E64" s="46">
        <v>7</v>
      </c>
      <c r="F64" s="46">
        <v>10</v>
      </c>
      <c r="G64" s="35" t="s">
        <v>152</v>
      </c>
      <c r="H64" s="42" t="s">
        <v>223</v>
      </c>
      <c r="I64" s="35" t="s">
        <v>324</v>
      </c>
      <c r="J64" s="36"/>
      <c r="K64" s="36"/>
      <c r="L64" s="37">
        <v>7.6700000000000004E-2</v>
      </c>
      <c r="M64" s="7">
        <f t="shared" si="0"/>
        <v>0.53690000000000004</v>
      </c>
      <c r="N64" s="4">
        <f>F64*L64</f>
        <v>0.76700000000000002</v>
      </c>
    </row>
    <row r="65" spans="2:14" ht="40" customHeight="1" x14ac:dyDescent="0.2">
      <c r="B65" s="11">
        <v>57</v>
      </c>
      <c r="C65" s="33" t="s">
        <v>81</v>
      </c>
      <c r="D65" s="33" t="s">
        <v>256</v>
      </c>
      <c r="E65" s="46">
        <v>1</v>
      </c>
      <c r="F65" s="46">
        <v>100</v>
      </c>
      <c r="G65" s="35" t="s">
        <v>153</v>
      </c>
      <c r="H65" s="42" t="s">
        <v>224</v>
      </c>
      <c r="I65" s="35" t="s">
        <v>323</v>
      </c>
      <c r="J65" s="36"/>
      <c r="K65" s="36"/>
      <c r="L65" s="37">
        <v>8.9999999999999998E-4</v>
      </c>
      <c r="M65" s="7">
        <f t="shared" si="0"/>
        <v>8.9999999999999998E-4</v>
      </c>
      <c r="N65" s="4">
        <f>F65*L65</f>
        <v>0.09</v>
      </c>
    </row>
    <row r="66" spans="2:14" ht="40" customHeight="1" x14ac:dyDescent="0.2">
      <c r="B66" s="11">
        <v>58</v>
      </c>
      <c r="C66" s="33" t="s">
        <v>82</v>
      </c>
      <c r="D66" s="33" t="s">
        <v>255</v>
      </c>
      <c r="E66" s="46">
        <v>5</v>
      </c>
      <c r="F66" s="46">
        <v>100</v>
      </c>
      <c r="G66" s="35" t="s">
        <v>154</v>
      </c>
      <c r="H66" s="42" t="s">
        <v>225</v>
      </c>
      <c r="I66" s="35" t="s">
        <v>322</v>
      </c>
      <c r="J66" s="36"/>
      <c r="K66" s="36"/>
      <c r="L66" s="37">
        <v>2.2000000000000001E-3</v>
      </c>
      <c r="M66" s="7">
        <f t="shared" si="0"/>
        <v>1.1000000000000001E-2</v>
      </c>
      <c r="N66" s="4">
        <f>F66*L66</f>
        <v>0.22</v>
      </c>
    </row>
    <row r="67" spans="2:14" ht="40" customHeight="1" x14ac:dyDescent="0.2">
      <c r="B67" s="11">
        <v>59</v>
      </c>
      <c r="C67" s="33" t="s">
        <v>83</v>
      </c>
      <c r="D67" s="33" t="s">
        <v>254</v>
      </c>
      <c r="E67" s="46">
        <v>2</v>
      </c>
      <c r="F67" s="46">
        <v>100</v>
      </c>
      <c r="G67" s="35" t="s">
        <v>155</v>
      </c>
      <c r="H67" s="42" t="s">
        <v>226</v>
      </c>
      <c r="I67" s="35" t="s">
        <v>321</v>
      </c>
      <c r="J67" s="36"/>
      <c r="K67" s="36"/>
      <c r="L67" s="37">
        <v>1.1999999999999999E-3</v>
      </c>
      <c r="M67" s="7">
        <f t="shared" si="0"/>
        <v>2.3999999999999998E-3</v>
      </c>
      <c r="N67" s="4">
        <f>F67*L67</f>
        <v>0.12</v>
      </c>
    </row>
    <row r="68" spans="2:14" ht="40" customHeight="1" x14ac:dyDescent="0.2">
      <c r="B68" s="11">
        <v>60</v>
      </c>
      <c r="C68" s="33" t="s">
        <v>84</v>
      </c>
      <c r="D68" s="33" t="s">
        <v>253</v>
      </c>
      <c r="E68" s="46">
        <v>2</v>
      </c>
      <c r="F68" s="46">
        <v>5</v>
      </c>
      <c r="G68" s="35" t="s">
        <v>156</v>
      </c>
      <c r="H68" s="42" t="s">
        <v>227</v>
      </c>
      <c r="I68" s="35" t="s">
        <v>320</v>
      </c>
      <c r="J68" s="36"/>
      <c r="K68" s="36"/>
      <c r="L68" s="37">
        <v>0.24440000000000001</v>
      </c>
      <c r="M68" s="7">
        <f t="shared" si="0"/>
        <v>0.48880000000000001</v>
      </c>
      <c r="N68" s="4">
        <f>F68*L68</f>
        <v>1.222</v>
      </c>
    </row>
    <row r="69" spans="2:14" ht="40" customHeight="1" x14ac:dyDescent="0.2">
      <c r="B69" s="11">
        <v>61</v>
      </c>
      <c r="C69" s="33" t="s">
        <v>85</v>
      </c>
      <c r="D69" s="33" t="s">
        <v>252</v>
      </c>
      <c r="E69" s="46">
        <v>5</v>
      </c>
      <c r="F69" s="46">
        <v>100</v>
      </c>
      <c r="G69" s="35" t="s">
        <v>157</v>
      </c>
      <c r="H69" s="42" t="s">
        <v>228</v>
      </c>
      <c r="I69" s="35" t="s">
        <v>319</v>
      </c>
      <c r="J69" s="36"/>
      <c r="K69" s="36"/>
      <c r="L69" s="37">
        <v>1E-3</v>
      </c>
      <c r="M69" s="7">
        <f t="shared" si="0"/>
        <v>5.0000000000000001E-3</v>
      </c>
      <c r="N69" s="4">
        <f>F69*L69</f>
        <v>0.1</v>
      </c>
    </row>
    <row r="70" spans="2:14" ht="40" customHeight="1" x14ac:dyDescent="0.2">
      <c r="B70" s="11">
        <v>62</v>
      </c>
      <c r="C70" s="33" t="s">
        <v>86</v>
      </c>
      <c r="D70" s="33" t="s">
        <v>251</v>
      </c>
      <c r="E70" s="46">
        <v>2</v>
      </c>
      <c r="F70" s="46">
        <v>20</v>
      </c>
      <c r="G70" s="35" t="s">
        <v>158</v>
      </c>
      <c r="H70" s="42" t="s">
        <v>229</v>
      </c>
      <c r="I70" s="35" t="s">
        <v>318</v>
      </c>
      <c r="J70" s="36"/>
      <c r="K70" s="36"/>
      <c r="L70" s="37">
        <v>3.85E-2</v>
      </c>
      <c r="M70" s="7">
        <f t="shared" si="0"/>
        <v>7.6999999999999999E-2</v>
      </c>
      <c r="N70" s="4">
        <f>F70*L70</f>
        <v>0.77</v>
      </c>
    </row>
    <row r="71" spans="2:14" ht="40" customHeight="1" x14ac:dyDescent="0.2">
      <c r="B71" s="11">
        <v>63</v>
      </c>
      <c r="C71" s="33" t="s">
        <v>87</v>
      </c>
      <c r="D71" s="33" t="s">
        <v>250</v>
      </c>
      <c r="E71" s="46">
        <v>1</v>
      </c>
      <c r="F71" s="46">
        <v>100</v>
      </c>
      <c r="G71" s="35" t="s">
        <v>159</v>
      </c>
      <c r="H71" s="42" t="s">
        <v>230</v>
      </c>
      <c r="I71" s="35" t="s">
        <v>317</v>
      </c>
      <c r="J71" s="36"/>
      <c r="K71" s="36"/>
      <c r="L71" s="37">
        <v>5.9999999999999995E-4</v>
      </c>
      <c r="M71" s="7">
        <f t="shared" si="0"/>
        <v>5.9999999999999995E-4</v>
      </c>
      <c r="N71" s="4">
        <f>F71*L71</f>
        <v>0.06</v>
      </c>
    </row>
    <row r="72" spans="2:14" ht="40" customHeight="1" x14ac:dyDescent="0.2">
      <c r="B72" s="11">
        <v>64</v>
      </c>
      <c r="C72" s="33" t="s">
        <v>88</v>
      </c>
      <c r="D72" s="33" t="s">
        <v>258</v>
      </c>
      <c r="E72" s="46">
        <v>1</v>
      </c>
      <c r="F72" s="46">
        <v>100</v>
      </c>
      <c r="G72" s="35" t="s">
        <v>160</v>
      </c>
      <c r="H72" s="42" t="s">
        <v>231</v>
      </c>
      <c r="I72" s="35" t="s">
        <v>325</v>
      </c>
      <c r="J72" s="36"/>
      <c r="K72" s="36"/>
      <c r="L72" s="37">
        <v>3.0000000000000001E-3</v>
      </c>
      <c r="M72" s="7">
        <f t="shared" si="0"/>
        <v>3.0000000000000001E-3</v>
      </c>
      <c r="N72" s="4">
        <f>F72*L72</f>
        <v>0.3</v>
      </c>
    </row>
    <row r="73" spans="2:14" ht="40" customHeight="1" x14ac:dyDescent="0.2">
      <c r="B73" s="11">
        <v>65</v>
      </c>
      <c r="C73" s="33" t="s">
        <v>89</v>
      </c>
      <c r="D73" s="33" t="s">
        <v>267</v>
      </c>
      <c r="E73" s="46">
        <v>2</v>
      </c>
      <c r="F73" s="46">
        <v>100</v>
      </c>
      <c r="G73" s="35" t="s">
        <v>161</v>
      </c>
      <c r="H73" s="42" t="s">
        <v>232</v>
      </c>
      <c r="I73" s="35" t="s">
        <v>332</v>
      </c>
      <c r="J73" s="36"/>
      <c r="K73" s="36"/>
      <c r="L73" s="37">
        <v>5.0000000000000001E-4</v>
      </c>
      <c r="M73" s="7">
        <f t="shared" si="0"/>
        <v>1E-3</v>
      </c>
      <c r="N73" s="4">
        <f>F73*L73</f>
        <v>0.05</v>
      </c>
    </row>
    <row r="74" spans="2:14" ht="40" customHeight="1" x14ac:dyDescent="0.2">
      <c r="B74" s="11">
        <v>66</v>
      </c>
      <c r="C74" s="33" t="s">
        <v>90</v>
      </c>
      <c r="D74" s="33" t="s">
        <v>268</v>
      </c>
      <c r="E74" s="46">
        <v>1</v>
      </c>
      <c r="F74" s="46">
        <v>100</v>
      </c>
      <c r="G74" s="35" t="s">
        <v>162</v>
      </c>
      <c r="H74" s="42" t="s">
        <v>233</v>
      </c>
      <c r="I74" s="35" t="s">
        <v>333</v>
      </c>
      <c r="J74" s="36"/>
      <c r="K74" s="36"/>
      <c r="L74" s="37">
        <v>6.9999999999999999E-4</v>
      </c>
      <c r="M74" s="7">
        <f t="shared" ref="M74:M89" si="1">E74*L74</f>
        <v>6.9999999999999999E-4</v>
      </c>
      <c r="N74" s="4">
        <f t="shared" ref="N74:N89" si="2">F74*L74</f>
        <v>6.9999999999999993E-2</v>
      </c>
    </row>
    <row r="75" spans="2:14" ht="40" customHeight="1" x14ac:dyDescent="0.2">
      <c r="B75" s="11">
        <v>67</v>
      </c>
      <c r="C75" s="33" t="s">
        <v>91</v>
      </c>
      <c r="D75" s="33" t="s">
        <v>269</v>
      </c>
      <c r="E75" s="46">
        <v>1</v>
      </c>
      <c r="F75" s="46">
        <v>50</v>
      </c>
      <c r="G75" s="35" t="s">
        <v>163</v>
      </c>
      <c r="H75" s="42" t="s">
        <v>234</v>
      </c>
      <c r="I75" s="35" t="s">
        <v>334</v>
      </c>
      <c r="J75" s="36"/>
      <c r="K75" s="36"/>
      <c r="L75" s="37">
        <v>1.1900000000000001E-2</v>
      </c>
      <c r="M75" s="7">
        <f t="shared" si="1"/>
        <v>1.1900000000000001E-2</v>
      </c>
      <c r="N75" s="4">
        <f t="shared" si="2"/>
        <v>0.59500000000000008</v>
      </c>
    </row>
    <row r="76" spans="2:14" ht="40" customHeight="1" x14ac:dyDescent="0.2">
      <c r="B76" s="11">
        <v>68</v>
      </c>
      <c r="C76" s="33" t="s">
        <v>92</v>
      </c>
      <c r="D76" s="33" t="s">
        <v>270</v>
      </c>
      <c r="E76" s="46">
        <v>1</v>
      </c>
      <c r="F76" s="46">
        <v>5</v>
      </c>
      <c r="G76" s="35" t="s">
        <v>164</v>
      </c>
      <c r="H76" s="42" t="s">
        <v>235</v>
      </c>
      <c r="I76" s="35" t="s">
        <v>335</v>
      </c>
      <c r="J76" s="36"/>
      <c r="K76" s="36"/>
      <c r="L76" s="37">
        <v>0.15809999999999999</v>
      </c>
      <c r="M76" s="7">
        <f t="shared" si="1"/>
        <v>0.15809999999999999</v>
      </c>
      <c r="N76" s="4">
        <f t="shared" si="2"/>
        <v>0.79049999999999998</v>
      </c>
    </row>
    <row r="77" spans="2:14" ht="40" customHeight="1" x14ac:dyDescent="0.2">
      <c r="B77" s="11">
        <v>69</v>
      </c>
      <c r="C77" s="33" t="s">
        <v>93</v>
      </c>
      <c r="D77" s="33" t="s">
        <v>271</v>
      </c>
      <c r="E77" s="46">
        <v>4</v>
      </c>
      <c r="F77" s="46">
        <v>5</v>
      </c>
      <c r="G77" s="35" t="s">
        <v>165</v>
      </c>
      <c r="H77" s="42" t="s">
        <v>236</v>
      </c>
      <c r="I77" s="35" t="s">
        <v>336</v>
      </c>
      <c r="J77" s="36"/>
      <c r="K77" s="36"/>
      <c r="L77" s="37">
        <v>0.26529999999999998</v>
      </c>
      <c r="M77" s="7">
        <f t="shared" si="1"/>
        <v>1.0611999999999999</v>
      </c>
      <c r="N77" s="4">
        <f t="shared" si="2"/>
        <v>1.3264999999999998</v>
      </c>
    </row>
    <row r="78" spans="2:14" ht="40" customHeight="1" x14ac:dyDescent="0.2">
      <c r="B78" s="11">
        <v>70</v>
      </c>
      <c r="C78" s="33" t="s">
        <v>94</v>
      </c>
      <c r="D78" s="33" t="s">
        <v>106</v>
      </c>
      <c r="E78" s="46">
        <v>1</v>
      </c>
      <c r="F78" s="34"/>
      <c r="G78" s="35" t="s">
        <v>106</v>
      </c>
      <c r="H78" s="42"/>
      <c r="I78" s="35" t="s">
        <v>106</v>
      </c>
      <c r="J78" s="36"/>
      <c r="K78" s="36"/>
      <c r="L78" s="37">
        <v>0</v>
      </c>
      <c r="M78" s="7">
        <f t="shared" si="1"/>
        <v>0</v>
      </c>
      <c r="N78" s="4">
        <f t="shared" si="2"/>
        <v>0</v>
      </c>
    </row>
    <row r="79" spans="2:14" ht="40" customHeight="1" x14ac:dyDescent="0.2">
      <c r="B79" s="11">
        <v>71</v>
      </c>
      <c r="C79" s="33" t="s">
        <v>95</v>
      </c>
      <c r="D79" s="33" t="s">
        <v>383</v>
      </c>
      <c r="E79" s="46">
        <v>1</v>
      </c>
      <c r="F79" s="46">
        <v>1</v>
      </c>
      <c r="G79" s="35" t="s">
        <v>166</v>
      </c>
      <c r="H79" s="42" t="s">
        <v>237</v>
      </c>
      <c r="I79" s="35" t="s">
        <v>389</v>
      </c>
      <c r="J79" s="36"/>
      <c r="K79" s="36"/>
      <c r="L79" s="37">
        <v>4.2511000000000001</v>
      </c>
      <c r="M79" s="7">
        <f t="shared" si="1"/>
        <v>4.2511000000000001</v>
      </c>
      <c r="N79" s="4">
        <f t="shared" si="2"/>
        <v>4.2511000000000001</v>
      </c>
    </row>
    <row r="80" spans="2:14" ht="40" customHeight="1" x14ac:dyDescent="0.2">
      <c r="B80" s="11">
        <v>72</v>
      </c>
      <c r="C80" s="33" t="s">
        <v>96</v>
      </c>
      <c r="D80" s="33" t="s">
        <v>272</v>
      </c>
      <c r="E80" s="46">
        <v>1</v>
      </c>
      <c r="F80" s="46">
        <v>1</v>
      </c>
      <c r="G80" s="35" t="s">
        <v>167</v>
      </c>
      <c r="H80" s="42" t="s">
        <v>238</v>
      </c>
      <c r="I80" s="35" t="s">
        <v>337</v>
      </c>
      <c r="J80" s="36"/>
      <c r="K80" s="36"/>
      <c r="L80" s="37">
        <v>0.3674</v>
      </c>
      <c r="M80" s="7">
        <f t="shared" si="1"/>
        <v>0.3674</v>
      </c>
      <c r="N80" s="4">
        <f t="shared" si="2"/>
        <v>0.3674</v>
      </c>
    </row>
    <row r="81" spans="2:14" ht="40" customHeight="1" x14ac:dyDescent="0.2">
      <c r="B81" s="11">
        <v>73</v>
      </c>
      <c r="C81" s="33" t="s">
        <v>97</v>
      </c>
      <c r="D81" s="33" t="s">
        <v>273</v>
      </c>
      <c r="E81" s="46">
        <v>1</v>
      </c>
      <c r="F81" s="46">
        <v>1</v>
      </c>
      <c r="G81" s="35" t="s">
        <v>168</v>
      </c>
      <c r="H81" s="42" t="s">
        <v>239</v>
      </c>
      <c r="I81" s="35" t="s">
        <v>338</v>
      </c>
      <c r="J81" s="36"/>
      <c r="K81" s="36"/>
      <c r="L81" s="37">
        <v>0.37140000000000001</v>
      </c>
      <c r="M81" s="7">
        <f t="shared" si="1"/>
        <v>0.37140000000000001</v>
      </c>
      <c r="N81" s="4">
        <f t="shared" si="2"/>
        <v>0.37140000000000001</v>
      </c>
    </row>
    <row r="82" spans="2:14" ht="40" customHeight="1" x14ac:dyDescent="0.2">
      <c r="B82" s="11">
        <v>74</v>
      </c>
      <c r="C82" s="33" t="s">
        <v>98</v>
      </c>
      <c r="D82" s="33" t="s">
        <v>274</v>
      </c>
      <c r="E82" s="46">
        <v>1</v>
      </c>
      <c r="F82" s="46">
        <v>10</v>
      </c>
      <c r="G82" s="35" t="s">
        <v>169</v>
      </c>
      <c r="H82" s="42" t="s">
        <v>240</v>
      </c>
      <c r="I82" s="35" t="s">
        <v>339</v>
      </c>
      <c r="J82" s="36"/>
      <c r="K82" s="36"/>
      <c r="L82" s="37">
        <v>1.1528</v>
      </c>
      <c r="M82" s="7">
        <f t="shared" si="1"/>
        <v>1.1528</v>
      </c>
      <c r="N82" s="4">
        <f t="shared" si="2"/>
        <v>11.528</v>
      </c>
    </row>
    <row r="83" spans="2:14" ht="40" customHeight="1" x14ac:dyDescent="0.2">
      <c r="B83" s="11">
        <v>75</v>
      </c>
      <c r="C83" s="33" t="s">
        <v>99</v>
      </c>
      <c r="D83" s="33" t="s">
        <v>275</v>
      </c>
      <c r="E83" s="46">
        <v>1</v>
      </c>
      <c r="F83" s="46">
        <v>1</v>
      </c>
      <c r="G83" s="35" t="s">
        <v>170</v>
      </c>
      <c r="H83" s="42" t="s">
        <v>241</v>
      </c>
      <c r="I83" s="35" t="s">
        <v>340</v>
      </c>
      <c r="J83" s="36"/>
      <c r="K83" s="36"/>
      <c r="L83" s="37">
        <v>1.5840000000000001</v>
      </c>
      <c r="M83" s="7">
        <f t="shared" si="1"/>
        <v>1.5840000000000001</v>
      </c>
      <c r="N83" s="4">
        <f t="shared" si="2"/>
        <v>1.5840000000000001</v>
      </c>
    </row>
    <row r="84" spans="2:14" ht="40" customHeight="1" x14ac:dyDescent="0.2">
      <c r="B84" s="11">
        <v>76</v>
      </c>
      <c r="C84" s="33" t="s">
        <v>100</v>
      </c>
      <c r="D84" s="33" t="s">
        <v>276</v>
      </c>
      <c r="E84" s="46">
        <v>1</v>
      </c>
      <c r="F84" s="46">
        <v>10</v>
      </c>
      <c r="G84" s="35" t="s">
        <v>171</v>
      </c>
      <c r="H84" s="42" t="s">
        <v>242</v>
      </c>
      <c r="I84" s="35" t="s">
        <v>341</v>
      </c>
      <c r="J84" s="36"/>
      <c r="K84" s="36"/>
      <c r="L84" s="37">
        <v>4.6800000000000001E-2</v>
      </c>
      <c r="M84" s="7">
        <f t="shared" si="1"/>
        <v>4.6800000000000001E-2</v>
      </c>
      <c r="N84" s="4">
        <f t="shared" si="2"/>
        <v>0.46800000000000003</v>
      </c>
    </row>
    <row r="85" spans="2:14" ht="40" customHeight="1" x14ac:dyDescent="0.2">
      <c r="B85" s="11">
        <v>77</v>
      </c>
      <c r="C85" s="33" t="s">
        <v>101</v>
      </c>
      <c r="D85" s="33" t="s">
        <v>277</v>
      </c>
      <c r="E85" s="46">
        <v>1</v>
      </c>
      <c r="F85" s="46">
        <v>5</v>
      </c>
      <c r="G85" s="35" t="s">
        <v>172</v>
      </c>
      <c r="H85" s="42" t="s">
        <v>243</v>
      </c>
      <c r="I85" s="35" t="s">
        <v>342</v>
      </c>
      <c r="J85" s="36"/>
      <c r="K85" s="36"/>
      <c r="L85" s="37">
        <v>0.1764</v>
      </c>
      <c r="M85" s="7">
        <f t="shared" si="1"/>
        <v>0.1764</v>
      </c>
      <c r="N85" s="4">
        <f t="shared" si="2"/>
        <v>0.88200000000000001</v>
      </c>
    </row>
    <row r="86" spans="2:14" ht="40" customHeight="1" x14ac:dyDescent="0.2">
      <c r="B86" s="11">
        <v>78</v>
      </c>
      <c r="C86" s="33" t="s">
        <v>102</v>
      </c>
      <c r="D86" s="33" t="s">
        <v>278</v>
      </c>
      <c r="E86" s="46">
        <v>1</v>
      </c>
      <c r="F86" s="46">
        <v>5</v>
      </c>
      <c r="G86" s="35" t="s">
        <v>173</v>
      </c>
      <c r="H86" s="42" t="s">
        <v>244</v>
      </c>
      <c r="I86" s="35" t="s">
        <v>343</v>
      </c>
      <c r="J86" s="36"/>
      <c r="K86" s="36"/>
      <c r="L86" s="37">
        <v>0.15579999999999999</v>
      </c>
      <c r="M86" s="7">
        <f t="shared" si="1"/>
        <v>0.15579999999999999</v>
      </c>
      <c r="N86" s="4">
        <f t="shared" si="2"/>
        <v>0.77899999999999991</v>
      </c>
    </row>
    <row r="87" spans="2:14" ht="40" customHeight="1" x14ac:dyDescent="0.2">
      <c r="B87" s="11">
        <v>79</v>
      </c>
      <c r="C87" s="33" t="s">
        <v>103</v>
      </c>
      <c r="D87" s="33" t="s">
        <v>279</v>
      </c>
      <c r="E87" s="46">
        <v>1</v>
      </c>
      <c r="F87" s="46">
        <v>5</v>
      </c>
      <c r="G87" s="35" t="s">
        <v>174</v>
      </c>
      <c r="H87" s="42" t="s">
        <v>245</v>
      </c>
      <c r="I87" s="35" t="s">
        <v>344</v>
      </c>
      <c r="J87" s="36"/>
      <c r="K87" s="36"/>
      <c r="L87" s="37">
        <v>0.15210000000000001</v>
      </c>
      <c r="M87" s="7">
        <f t="shared" si="1"/>
        <v>0.15210000000000001</v>
      </c>
      <c r="N87" s="4">
        <f t="shared" si="2"/>
        <v>0.76050000000000006</v>
      </c>
    </row>
    <row r="88" spans="2:14" ht="40" customHeight="1" x14ac:dyDescent="0.2">
      <c r="B88" s="11">
        <v>80</v>
      </c>
      <c r="C88" s="33" t="s">
        <v>104</v>
      </c>
      <c r="D88" s="33" t="s">
        <v>280</v>
      </c>
      <c r="E88" s="46">
        <v>2</v>
      </c>
      <c r="F88" s="46">
        <v>2</v>
      </c>
      <c r="G88" s="35" t="s">
        <v>175</v>
      </c>
      <c r="H88" s="42" t="s">
        <v>246</v>
      </c>
      <c r="I88" s="35" t="s">
        <v>345</v>
      </c>
      <c r="J88" s="36"/>
      <c r="K88" s="36"/>
      <c r="L88" s="37">
        <v>0.99360000000000004</v>
      </c>
      <c r="M88" s="7">
        <f t="shared" si="1"/>
        <v>1.9872000000000001</v>
      </c>
      <c r="N88" s="4">
        <f t="shared" si="2"/>
        <v>1.9872000000000001</v>
      </c>
    </row>
    <row r="89" spans="2:14" ht="40" customHeight="1" x14ac:dyDescent="0.2">
      <c r="B89" s="11">
        <v>81</v>
      </c>
      <c r="C89" s="33" t="s">
        <v>105</v>
      </c>
      <c r="D89" s="33" t="s">
        <v>281</v>
      </c>
      <c r="E89" s="46">
        <v>1</v>
      </c>
      <c r="F89" s="46">
        <v>10</v>
      </c>
      <c r="G89" s="35" t="s">
        <v>176</v>
      </c>
      <c r="H89" s="42" t="s">
        <v>247</v>
      </c>
      <c r="I89" s="35" t="s">
        <v>346</v>
      </c>
      <c r="J89" s="36"/>
      <c r="K89" s="36"/>
      <c r="L89" s="37">
        <v>5.3999999999999999E-2</v>
      </c>
      <c r="M89" s="7">
        <f t="shared" si="1"/>
        <v>5.3999999999999999E-2</v>
      </c>
      <c r="N89" s="4">
        <f t="shared" si="2"/>
        <v>0.54</v>
      </c>
    </row>
    <row r="90" spans="2:14" ht="40" customHeight="1" x14ac:dyDescent="0.2">
      <c r="B90" s="13"/>
      <c r="C90" s="14"/>
      <c r="D90" s="27"/>
      <c r="E90" s="27"/>
      <c r="F90" s="27"/>
      <c r="G90" s="15"/>
      <c r="H90" s="43"/>
      <c r="I90" s="15"/>
      <c r="J90" s="15"/>
      <c r="K90" s="16" t="s">
        <v>391</v>
      </c>
      <c r="L90" s="17">
        <f>SUM(L9:L89)</f>
        <v>19.685500000000008</v>
      </c>
      <c r="M90" s="17">
        <f>SUM(M9:M89)</f>
        <v>35.427799999999998</v>
      </c>
      <c r="N90" s="17">
        <f>SUM(N9:N89)</f>
        <v>67.234700000000032</v>
      </c>
    </row>
  </sheetData>
  <conditionalFormatting sqref="J37:J44 J47 J59:J72">
    <cfRule type="containsText" dxfId="15" priority="13" operator="containsText" text="COMPLETE">
      <formula>NOT(ISERROR(SEARCH("COMPLETE",J37)))</formula>
    </cfRule>
    <cfRule type="containsText" dxfId="14" priority="14" operator="containsText" text="IN REVIEW">
      <formula>NOT(ISERROR(SEARCH("IN REVIEW",J37)))</formula>
    </cfRule>
    <cfRule type="containsText" dxfId="13" priority="15" operator="containsText" text="IN PRODUCTION">
      <formula>NOT(ISERROR(SEARCH("IN PRODUCTION",J37)))</formula>
    </cfRule>
    <cfRule type="containsText" dxfId="12" priority="16" operator="containsText" text="NOT STARTED">
      <formula>NOT(ISERROR(SEARCH("NOT STARTED",J37)))</formula>
    </cfRule>
  </conditionalFormatting>
  <conditionalFormatting sqref="K9 K11:K72">
    <cfRule type="containsText" dxfId="11" priority="9" operator="containsText" text="COMPLETE">
      <formula>NOT(ISERROR(SEARCH("COMPLETE",K9)))</formula>
    </cfRule>
    <cfRule type="containsText" dxfId="10" priority="10" operator="containsText" text="IN REVIEW">
      <formula>NOT(ISERROR(SEARCH("IN REVIEW",K9)))</formula>
    </cfRule>
    <cfRule type="containsText" dxfId="9" priority="11" operator="containsText" text="IN PRODUCTION">
      <formula>NOT(ISERROR(SEARCH("IN PRODUCTION",K9)))</formula>
    </cfRule>
    <cfRule type="containsText" dxfId="8" priority="12" operator="containsText" text="NOT STARTED">
      <formula>NOT(ISERROR(SEARCH("NOT STARTED",K9)))</formula>
    </cfRule>
  </conditionalFormatting>
  <conditionalFormatting sqref="J73:J89">
    <cfRule type="containsText" dxfId="7" priority="5" operator="containsText" text="COMPLETE">
      <formula>NOT(ISERROR(SEARCH("COMPLETE",J73)))</formula>
    </cfRule>
    <cfRule type="containsText" dxfId="6" priority="6" operator="containsText" text="IN REVIEW">
      <formula>NOT(ISERROR(SEARCH("IN REVIEW",J73)))</formula>
    </cfRule>
    <cfRule type="containsText" dxfId="5" priority="7" operator="containsText" text="IN PRODUCTION">
      <formula>NOT(ISERROR(SEARCH("IN PRODUCTION",J73)))</formula>
    </cfRule>
    <cfRule type="containsText" dxfId="4" priority="8" operator="containsText" text="NOT STARTED">
      <formula>NOT(ISERROR(SEARCH("NOT STARTED",J73)))</formula>
    </cfRule>
  </conditionalFormatting>
  <conditionalFormatting sqref="K73:K89">
    <cfRule type="containsText" dxfId="3" priority="1" operator="containsText" text="COMPLETE">
      <formula>NOT(ISERROR(SEARCH("COMPLETE",K73)))</formula>
    </cfRule>
    <cfRule type="containsText" dxfId="2" priority="2" operator="containsText" text="IN REVIEW">
      <formula>NOT(ISERROR(SEARCH("IN REVIEW",K73)))</formula>
    </cfRule>
    <cfRule type="containsText" dxfId="1" priority="3" operator="containsText" text="IN PRODUCTION">
      <formula>NOT(ISERROR(SEARCH("IN PRODUCTION",K73)))</formula>
    </cfRule>
    <cfRule type="containsText" dxfId="0" priority="4" operator="containsText" text="NOT STARTED">
      <formula>NOT(ISERROR(SEARCH("NOT STARTED",K73)))</formula>
    </cfRule>
  </conditionalFormatting>
  <dataValidations disablePrompts="1" count="1">
    <dataValidation type="list" allowBlank="1" showInputMessage="1" showErrorMessage="1" sqref="K9 J59:J89 J47 J37:J44 K11:K89" xr:uid="{07595249-4EAC-8C44-8FD1-5EA62DF1F707}">
      <formula1>$P$9:$P$12</formula1>
    </dataValidation>
  </dataValidations>
  <pageMargins left="0.25" right="0.25" top="0.25" bottom="0.25" header="0" footer="0"/>
  <pageSetup scale="67" fitToHeight="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Ray Bello</cp:lastModifiedBy>
  <dcterms:created xsi:type="dcterms:W3CDTF">2015-07-29T21:33:10Z</dcterms:created>
  <dcterms:modified xsi:type="dcterms:W3CDTF">2025-09-03T07:24:30Z</dcterms:modified>
</cp:coreProperties>
</file>